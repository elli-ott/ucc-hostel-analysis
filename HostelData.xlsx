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wnloads\Telegram Desktop\"/>
    </mc:Choice>
  </mc:AlternateContent>
  <xr:revisionPtr revIDLastSave="0" documentId="13_ncr:1_{FCAB05E5-190D-4EDC-9B05-0D1AE09E8CD3}" xr6:coauthVersionLast="36" xr6:coauthVersionMax="36" xr10:uidLastSave="{00000000-0000-0000-0000-000000000000}"/>
  <bookViews>
    <workbookView xWindow="0" yWindow="0" windowWidth="23040" windowHeight="8940" activeTab="3" xr2:uid="{00000000-000D-0000-FFFF-FFFF00000000}"/>
  </bookViews>
  <sheets>
    <sheet name="Hostels By Location" sheetId="4" r:id="rId1"/>
    <sheet name="Average Rent By Location" sheetId="5" r:id="rId2"/>
    <sheet name="Verification Analysis" sheetId="6" r:id="rId3"/>
    <sheet name="HostelData" sheetId="1" r:id="rId4"/>
    <sheet name="KPI" sheetId="2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  <c r="B3" i="2"/>
  <c r="B2" i="2" l="1"/>
</calcChain>
</file>

<file path=xl/sharedStrings.xml><?xml version="1.0" encoding="utf-8"?>
<sst xmlns="http://schemas.openxmlformats.org/spreadsheetml/2006/main" count="6062" uniqueCount="579">
  <si>
    <t>Hostel_ID</t>
  </si>
  <si>
    <t>Hostel_Name</t>
  </si>
  <si>
    <t>Location</t>
  </si>
  <si>
    <t>Distance_from_Campus_km</t>
  </si>
  <si>
    <t>Room_Type</t>
  </si>
  <si>
    <t>Gender</t>
  </si>
  <si>
    <t>Annual_Rent_GHS</t>
  </si>
  <si>
    <t>Number_of_Rooms</t>
  </si>
  <si>
    <t>Total_Beds</t>
  </si>
  <si>
    <t>Occupied_Beds</t>
  </si>
  <si>
    <t>Occupancy_Rate_%</t>
  </si>
  <si>
    <t>Water_Available</t>
  </si>
  <si>
    <t>Electricity_Available</t>
  </si>
  <si>
    <t>Fire_Safety_Equipment</t>
  </si>
  <si>
    <t>Documents_Verified</t>
  </si>
  <si>
    <t>Physical_Inspection_Passed</t>
  </si>
  <si>
    <t>Verification_Status</t>
  </si>
  <si>
    <t>Inspection_Date</t>
  </si>
  <si>
    <t>Student_Rating</t>
  </si>
  <si>
    <t>Reported_Complaints</t>
  </si>
  <si>
    <t>Last_Verified_By</t>
  </si>
  <si>
    <t>HST0001</t>
  </si>
  <si>
    <t>Sunrise Hostel</t>
  </si>
  <si>
    <t>Amamoma</t>
  </si>
  <si>
    <t>2-in-a-room</t>
  </si>
  <si>
    <t>Mixed</t>
  </si>
  <si>
    <t>Yes</t>
  </si>
  <si>
    <t>No</t>
  </si>
  <si>
    <t>Pending Review</t>
  </si>
  <si>
    <t>Hostel Verification Team</t>
  </si>
  <si>
    <t>HST0002</t>
  </si>
  <si>
    <t>Peace Haven Hostel</t>
  </si>
  <si>
    <t>Ayensu</t>
  </si>
  <si>
    <t>3-in-a-room</t>
  </si>
  <si>
    <t>Male</t>
  </si>
  <si>
    <t>Verified</t>
  </si>
  <si>
    <t>HST0003</t>
  </si>
  <si>
    <t>Comfort Zone Hostel</t>
  </si>
  <si>
    <t>Kwaprow</t>
  </si>
  <si>
    <t>HST0004</t>
  </si>
  <si>
    <t>Golden Gate Hostel</t>
  </si>
  <si>
    <t>Pedu</t>
  </si>
  <si>
    <t>HST0005</t>
  </si>
  <si>
    <t>Royal Palm Hostel</t>
  </si>
  <si>
    <t>Kotokuraba</t>
  </si>
  <si>
    <t>HST0006</t>
  </si>
  <si>
    <t>New Era Hostel</t>
  </si>
  <si>
    <t>Cape Coast</t>
  </si>
  <si>
    <t>4-in-a-room</t>
  </si>
  <si>
    <t>Female</t>
  </si>
  <si>
    <t>HST0007</t>
  </si>
  <si>
    <t>Starlight Hostel</t>
  </si>
  <si>
    <t>HST0008</t>
  </si>
  <si>
    <t>Victory Hostel</t>
  </si>
  <si>
    <t>Single</t>
  </si>
  <si>
    <t>HST0009</t>
  </si>
  <si>
    <t>Campus View Hostel</t>
  </si>
  <si>
    <t>HST0010</t>
  </si>
  <si>
    <t>Scholar's Lodge</t>
  </si>
  <si>
    <t>HST0011</t>
  </si>
  <si>
    <t>Hilltop Hostel</t>
  </si>
  <si>
    <t>HST0012</t>
  </si>
  <si>
    <t>Garden City Hostel</t>
  </si>
  <si>
    <t>HST0013</t>
  </si>
  <si>
    <t>University Area</t>
  </si>
  <si>
    <t>Not Verified</t>
  </si>
  <si>
    <t>HST0014</t>
  </si>
  <si>
    <t>Green Valley Hostel</t>
  </si>
  <si>
    <t>HST0015</t>
  </si>
  <si>
    <t>HST0016</t>
  </si>
  <si>
    <t>University Heights Hostel</t>
  </si>
  <si>
    <t>HST0017</t>
  </si>
  <si>
    <t>Prime Scholars Hostel</t>
  </si>
  <si>
    <t>HST0018</t>
  </si>
  <si>
    <t>HST0019</t>
  </si>
  <si>
    <t>Ocean Breeze Hostel</t>
  </si>
  <si>
    <t>HST0020</t>
  </si>
  <si>
    <t>HST0021</t>
  </si>
  <si>
    <t>Blue Sky Hostel</t>
  </si>
  <si>
    <t>HST0022</t>
  </si>
  <si>
    <t>HST0023</t>
  </si>
  <si>
    <t>Abura</t>
  </si>
  <si>
    <t>HST0024</t>
  </si>
  <si>
    <t>Kings Court Hostel</t>
  </si>
  <si>
    <t>HST0025</t>
  </si>
  <si>
    <t>Eagle's Nest Hostel</t>
  </si>
  <si>
    <t>HST0026</t>
  </si>
  <si>
    <t>HST0027</t>
  </si>
  <si>
    <t>HST0028</t>
  </si>
  <si>
    <t>HST0029</t>
  </si>
  <si>
    <t>HST0030</t>
  </si>
  <si>
    <t>HST0031</t>
  </si>
  <si>
    <t>HST0032</t>
  </si>
  <si>
    <t>HST0033</t>
  </si>
  <si>
    <t>HST0034</t>
  </si>
  <si>
    <t>HST0035</t>
  </si>
  <si>
    <t>HST0036</t>
  </si>
  <si>
    <t>HST0037</t>
  </si>
  <si>
    <t>HST0038</t>
  </si>
  <si>
    <t>HST0039</t>
  </si>
  <si>
    <t>HST0040</t>
  </si>
  <si>
    <t>HST0041</t>
  </si>
  <si>
    <t>HST0042</t>
  </si>
  <si>
    <t>HST0043</t>
  </si>
  <si>
    <t>HST0044</t>
  </si>
  <si>
    <t>HST0045</t>
  </si>
  <si>
    <t>HST0046</t>
  </si>
  <si>
    <t>HST0047</t>
  </si>
  <si>
    <t>HST0048</t>
  </si>
  <si>
    <t>HST0049</t>
  </si>
  <si>
    <t>HST0050</t>
  </si>
  <si>
    <t>HST0051</t>
  </si>
  <si>
    <t>HST0052</t>
  </si>
  <si>
    <t>HST0053</t>
  </si>
  <si>
    <t>HST0054</t>
  </si>
  <si>
    <t>HST0055</t>
  </si>
  <si>
    <t>HST0056</t>
  </si>
  <si>
    <t>HST0057</t>
  </si>
  <si>
    <t>HST0058</t>
  </si>
  <si>
    <t>HST0059</t>
  </si>
  <si>
    <t>HST0060</t>
  </si>
  <si>
    <t>HST0061</t>
  </si>
  <si>
    <t>HST0062</t>
  </si>
  <si>
    <t>HST0063</t>
  </si>
  <si>
    <t>HST0064</t>
  </si>
  <si>
    <t>HST0065</t>
  </si>
  <si>
    <t>HST0066</t>
  </si>
  <si>
    <t>HST0067</t>
  </si>
  <si>
    <t>HST0068</t>
  </si>
  <si>
    <t>HST0069</t>
  </si>
  <si>
    <t>HST0070</t>
  </si>
  <si>
    <t>HST0071</t>
  </si>
  <si>
    <t>HST0072</t>
  </si>
  <si>
    <t>HST0073</t>
  </si>
  <si>
    <t>HST0074</t>
  </si>
  <si>
    <t>HST0075</t>
  </si>
  <si>
    <t>HST0076</t>
  </si>
  <si>
    <t>HST0077</t>
  </si>
  <si>
    <t>HST0078</t>
  </si>
  <si>
    <t>HST0079</t>
  </si>
  <si>
    <t>HST0080</t>
  </si>
  <si>
    <t>HST0081</t>
  </si>
  <si>
    <t>HST0082</t>
  </si>
  <si>
    <t>HST0083</t>
  </si>
  <si>
    <t>HST0084</t>
  </si>
  <si>
    <t>HST0085</t>
  </si>
  <si>
    <t>HST0086</t>
  </si>
  <si>
    <t>HST0087</t>
  </si>
  <si>
    <t>HST0088</t>
  </si>
  <si>
    <t>HST0089</t>
  </si>
  <si>
    <t>Maple Court Hostel</t>
  </si>
  <si>
    <t>HST0090</t>
  </si>
  <si>
    <t>HST0091</t>
  </si>
  <si>
    <t>HST0092</t>
  </si>
  <si>
    <t>HST0093</t>
  </si>
  <si>
    <t>HST0094</t>
  </si>
  <si>
    <t>HST0095</t>
  </si>
  <si>
    <t>HST0096</t>
  </si>
  <si>
    <t>HST0097</t>
  </si>
  <si>
    <t>HST0098</t>
  </si>
  <si>
    <t>HST0099</t>
  </si>
  <si>
    <t>HST0100</t>
  </si>
  <si>
    <t>HST0101</t>
  </si>
  <si>
    <t>HST0102</t>
  </si>
  <si>
    <t>HST0103</t>
  </si>
  <si>
    <t>HST0104</t>
  </si>
  <si>
    <t>HST0105</t>
  </si>
  <si>
    <t>HST0106</t>
  </si>
  <si>
    <t>HST0107</t>
  </si>
  <si>
    <t>HST0108</t>
  </si>
  <si>
    <t>HST0109</t>
  </si>
  <si>
    <t>HST0110</t>
  </si>
  <si>
    <t>HST0111</t>
  </si>
  <si>
    <t>HST0112</t>
  </si>
  <si>
    <t>HST0113</t>
  </si>
  <si>
    <t>HST0114</t>
  </si>
  <si>
    <t>HST0115</t>
  </si>
  <si>
    <t>HST0116</t>
  </si>
  <si>
    <t>HST0117</t>
  </si>
  <si>
    <t>HST0118</t>
  </si>
  <si>
    <t>HST0119</t>
  </si>
  <si>
    <t>HST0120</t>
  </si>
  <si>
    <t>HST0121</t>
  </si>
  <si>
    <t>HST0122</t>
  </si>
  <si>
    <t>HST0123</t>
  </si>
  <si>
    <t>HST0124</t>
  </si>
  <si>
    <t>HST0125</t>
  </si>
  <si>
    <t>HST0126</t>
  </si>
  <si>
    <t>HST0127</t>
  </si>
  <si>
    <t>HST0128</t>
  </si>
  <si>
    <t>HST0129</t>
  </si>
  <si>
    <t>HST0130</t>
  </si>
  <si>
    <t>HST0131</t>
  </si>
  <si>
    <t>HST0132</t>
  </si>
  <si>
    <t>HST0133</t>
  </si>
  <si>
    <t>HST0134</t>
  </si>
  <si>
    <t>HST0135</t>
  </si>
  <si>
    <t>HST0136</t>
  </si>
  <si>
    <t>HST0137</t>
  </si>
  <si>
    <t>HST0138</t>
  </si>
  <si>
    <t>HST0139</t>
  </si>
  <si>
    <t>HST0140</t>
  </si>
  <si>
    <t>HST0141</t>
  </si>
  <si>
    <t>HST0142</t>
  </si>
  <si>
    <t>HST0143</t>
  </si>
  <si>
    <t>HST0144</t>
  </si>
  <si>
    <t>HST0145</t>
  </si>
  <si>
    <t>HST0146</t>
  </si>
  <si>
    <t>HST0147</t>
  </si>
  <si>
    <t>HST0148</t>
  </si>
  <si>
    <t>HST0149</t>
  </si>
  <si>
    <t>HST0150</t>
  </si>
  <si>
    <t>HST0151</t>
  </si>
  <si>
    <t>HST0152</t>
  </si>
  <si>
    <t>HST0153</t>
  </si>
  <si>
    <t>HST0154</t>
  </si>
  <si>
    <t>HST0155</t>
  </si>
  <si>
    <t>HST0156</t>
  </si>
  <si>
    <t>HST0157</t>
  </si>
  <si>
    <t>HST0158</t>
  </si>
  <si>
    <t>HST0159</t>
  </si>
  <si>
    <t>HST0160</t>
  </si>
  <si>
    <t>HST0161</t>
  </si>
  <si>
    <t>HST0162</t>
  </si>
  <si>
    <t>HST0163</t>
  </si>
  <si>
    <t>HST0164</t>
  </si>
  <si>
    <t>HST0165</t>
  </si>
  <si>
    <t>HST0166</t>
  </si>
  <si>
    <t>HST0167</t>
  </si>
  <si>
    <t>HST0168</t>
  </si>
  <si>
    <t>HST0169</t>
  </si>
  <si>
    <t>HST0170</t>
  </si>
  <si>
    <t>HST0171</t>
  </si>
  <si>
    <t>HST0172</t>
  </si>
  <si>
    <t>HST0173</t>
  </si>
  <si>
    <t>HST0174</t>
  </si>
  <si>
    <t>HST0175</t>
  </si>
  <si>
    <t>HST0176</t>
  </si>
  <si>
    <t>HST0177</t>
  </si>
  <si>
    <t>HST0178</t>
  </si>
  <si>
    <t>HST0179</t>
  </si>
  <si>
    <t>HST0180</t>
  </si>
  <si>
    <t>HST0181</t>
  </si>
  <si>
    <t>HST0182</t>
  </si>
  <si>
    <t>HST0183</t>
  </si>
  <si>
    <t>HST0184</t>
  </si>
  <si>
    <t>HST0185</t>
  </si>
  <si>
    <t>HST0186</t>
  </si>
  <si>
    <t>HST0187</t>
  </si>
  <si>
    <t>HST0188</t>
  </si>
  <si>
    <t>HST0189</t>
  </si>
  <si>
    <t>HST0190</t>
  </si>
  <si>
    <t>HST0191</t>
  </si>
  <si>
    <t>HST0192</t>
  </si>
  <si>
    <t>HST0193</t>
  </si>
  <si>
    <t>HST0194</t>
  </si>
  <si>
    <t>HST0195</t>
  </si>
  <si>
    <t>HST0196</t>
  </si>
  <si>
    <t>HST0197</t>
  </si>
  <si>
    <t>HST0198</t>
  </si>
  <si>
    <t>HST0199</t>
  </si>
  <si>
    <t>HST0200</t>
  </si>
  <si>
    <t>HST0201</t>
  </si>
  <si>
    <t>HST0202</t>
  </si>
  <si>
    <t>HST0203</t>
  </si>
  <si>
    <t>HST0204</t>
  </si>
  <si>
    <t>HST0205</t>
  </si>
  <si>
    <t>HST0206</t>
  </si>
  <si>
    <t>HST0207</t>
  </si>
  <si>
    <t>HST0208</t>
  </si>
  <si>
    <t>HST0209</t>
  </si>
  <si>
    <t>HST0210</t>
  </si>
  <si>
    <t>HST0211</t>
  </si>
  <si>
    <t>HST0212</t>
  </si>
  <si>
    <t>HST0213</t>
  </si>
  <si>
    <t>HST0214</t>
  </si>
  <si>
    <t>HST0215</t>
  </si>
  <si>
    <t>HST0216</t>
  </si>
  <si>
    <t>HST0217</t>
  </si>
  <si>
    <t>HST0218</t>
  </si>
  <si>
    <t>HST0219</t>
  </si>
  <si>
    <t>HST0220</t>
  </si>
  <si>
    <t>HST0221</t>
  </si>
  <si>
    <t>HST0222</t>
  </si>
  <si>
    <t>HST0223</t>
  </si>
  <si>
    <t>HST0224</t>
  </si>
  <si>
    <t>HST0225</t>
  </si>
  <si>
    <t>HST0226</t>
  </si>
  <si>
    <t>HST0227</t>
  </si>
  <si>
    <t>HST0228</t>
  </si>
  <si>
    <t>HST0229</t>
  </si>
  <si>
    <t>HST0230</t>
  </si>
  <si>
    <t>HST0231</t>
  </si>
  <si>
    <t>HST0232</t>
  </si>
  <si>
    <t>HST0233</t>
  </si>
  <si>
    <t>HST0234</t>
  </si>
  <si>
    <t>HST0235</t>
  </si>
  <si>
    <t>HST0236</t>
  </si>
  <si>
    <t>HST0237</t>
  </si>
  <si>
    <t>HST0238</t>
  </si>
  <si>
    <t>HST0239</t>
  </si>
  <si>
    <t>HST0240</t>
  </si>
  <si>
    <t>HST0241</t>
  </si>
  <si>
    <t>HST0242</t>
  </si>
  <si>
    <t>HST0243</t>
  </si>
  <si>
    <t>HST0244</t>
  </si>
  <si>
    <t>HST0245</t>
  </si>
  <si>
    <t>HST0246</t>
  </si>
  <si>
    <t>HST0247</t>
  </si>
  <si>
    <t>HST0248</t>
  </si>
  <si>
    <t>HST0249</t>
  </si>
  <si>
    <t>HST0250</t>
  </si>
  <si>
    <t>HST0251</t>
  </si>
  <si>
    <t>HST0252</t>
  </si>
  <si>
    <t>HST0253</t>
  </si>
  <si>
    <t>HST0254</t>
  </si>
  <si>
    <t>HST0255</t>
  </si>
  <si>
    <t>HST0256</t>
  </si>
  <si>
    <t>HST0257</t>
  </si>
  <si>
    <t>HST0258</t>
  </si>
  <si>
    <t>HST0259</t>
  </si>
  <si>
    <t>HST0260</t>
  </si>
  <si>
    <t>HST0261</t>
  </si>
  <si>
    <t>HST0262</t>
  </si>
  <si>
    <t>HST0263</t>
  </si>
  <si>
    <t>HST0264</t>
  </si>
  <si>
    <t>HST0265</t>
  </si>
  <si>
    <t>HST0266</t>
  </si>
  <si>
    <t>HST0267</t>
  </si>
  <si>
    <t>HST0268</t>
  </si>
  <si>
    <t>HST0269</t>
  </si>
  <si>
    <t>HST0270</t>
  </si>
  <si>
    <t>HST0271</t>
  </si>
  <si>
    <t>HST0272</t>
  </si>
  <si>
    <t>HST0273</t>
  </si>
  <si>
    <t>HST0274</t>
  </si>
  <si>
    <t>HST0275</t>
  </si>
  <si>
    <t>HST0276</t>
  </si>
  <si>
    <t>HST0277</t>
  </si>
  <si>
    <t>HST0278</t>
  </si>
  <si>
    <t>HST0279</t>
  </si>
  <si>
    <t>HST0280</t>
  </si>
  <si>
    <t>HST0281</t>
  </si>
  <si>
    <t>HST0282</t>
  </si>
  <si>
    <t>HST0283</t>
  </si>
  <si>
    <t>HST0284</t>
  </si>
  <si>
    <t>HST0285</t>
  </si>
  <si>
    <t>HST0286</t>
  </si>
  <si>
    <t>HST0287</t>
  </si>
  <si>
    <t>HST0288</t>
  </si>
  <si>
    <t>HST0289</t>
  </si>
  <si>
    <t>HST0290</t>
  </si>
  <si>
    <t>HST0291</t>
  </si>
  <si>
    <t>HST0292</t>
  </si>
  <si>
    <t>HST0293</t>
  </si>
  <si>
    <t>HST0294</t>
  </si>
  <si>
    <t>HST0295</t>
  </si>
  <si>
    <t>HST0296</t>
  </si>
  <si>
    <t>HST0297</t>
  </si>
  <si>
    <t>HST0298</t>
  </si>
  <si>
    <t>HST0299</t>
  </si>
  <si>
    <t>HST0300</t>
  </si>
  <si>
    <t>HST0301</t>
  </si>
  <si>
    <t>HST0302</t>
  </si>
  <si>
    <t>HST0303</t>
  </si>
  <si>
    <t>HST0304</t>
  </si>
  <si>
    <t>HST0305</t>
  </si>
  <si>
    <t>HST0306</t>
  </si>
  <si>
    <t>HST0307</t>
  </si>
  <si>
    <t>HST0308</t>
  </si>
  <si>
    <t>HST0309</t>
  </si>
  <si>
    <t>HST0310</t>
  </si>
  <si>
    <t>HST0311</t>
  </si>
  <si>
    <t>HST0312</t>
  </si>
  <si>
    <t>HST0313</t>
  </si>
  <si>
    <t>HST0314</t>
  </si>
  <si>
    <t>HST0315</t>
  </si>
  <si>
    <t>HST0316</t>
  </si>
  <si>
    <t>HST0317</t>
  </si>
  <si>
    <t>HST0318</t>
  </si>
  <si>
    <t>HST0319</t>
  </si>
  <si>
    <t>HST0320</t>
  </si>
  <si>
    <t>HST0321</t>
  </si>
  <si>
    <t>HST0322</t>
  </si>
  <si>
    <t>HST0323</t>
  </si>
  <si>
    <t>HST0324</t>
  </si>
  <si>
    <t>HST0325</t>
  </si>
  <si>
    <t>HST0326</t>
  </si>
  <si>
    <t>HST0327</t>
  </si>
  <si>
    <t>HST0328</t>
  </si>
  <si>
    <t>HST0329</t>
  </si>
  <si>
    <t>HST0330</t>
  </si>
  <si>
    <t>HST0331</t>
  </si>
  <si>
    <t>HST0332</t>
  </si>
  <si>
    <t>HST0333</t>
  </si>
  <si>
    <t>HST0334</t>
  </si>
  <si>
    <t>HST0335</t>
  </si>
  <si>
    <t>HST0336</t>
  </si>
  <si>
    <t>HST0337</t>
  </si>
  <si>
    <t>HST0338</t>
  </si>
  <si>
    <t>HST0339</t>
  </si>
  <si>
    <t>HST0340</t>
  </si>
  <si>
    <t>HST0341</t>
  </si>
  <si>
    <t>HST0342</t>
  </si>
  <si>
    <t>HST0343</t>
  </si>
  <si>
    <t>HST0344</t>
  </si>
  <si>
    <t>HST0345</t>
  </si>
  <si>
    <t>HST0346</t>
  </si>
  <si>
    <t>HST0347</t>
  </si>
  <si>
    <t>HST0348</t>
  </si>
  <si>
    <t>HST0349</t>
  </si>
  <si>
    <t>HST0350</t>
  </si>
  <si>
    <t>HST0351</t>
  </si>
  <si>
    <t>HST0352</t>
  </si>
  <si>
    <t>HST0353</t>
  </si>
  <si>
    <t>HST0354</t>
  </si>
  <si>
    <t>HST0355</t>
  </si>
  <si>
    <t>HST0356</t>
  </si>
  <si>
    <t>HST0357</t>
  </si>
  <si>
    <t>HST0358</t>
  </si>
  <si>
    <t>HST0359</t>
  </si>
  <si>
    <t>HST0360</t>
  </si>
  <si>
    <t>HST0361</t>
  </si>
  <si>
    <t>HST0362</t>
  </si>
  <si>
    <t>HST0363</t>
  </si>
  <si>
    <t>HST0364</t>
  </si>
  <si>
    <t>HST0365</t>
  </si>
  <si>
    <t>HST0366</t>
  </si>
  <si>
    <t>HST0367</t>
  </si>
  <si>
    <t>HST0368</t>
  </si>
  <si>
    <t>HST0369</t>
  </si>
  <si>
    <t>HST0370</t>
  </si>
  <si>
    <t>HST0371</t>
  </si>
  <si>
    <t>HST0372</t>
  </si>
  <si>
    <t>HST0373</t>
  </si>
  <si>
    <t>HST0374</t>
  </si>
  <si>
    <t>HST0375</t>
  </si>
  <si>
    <t>HST0376</t>
  </si>
  <si>
    <t>HST0377</t>
  </si>
  <si>
    <t>HST0378</t>
  </si>
  <si>
    <t>HST0379</t>
  </si>
  <si>
    <t>HST0380</t>
  </si>
  <si>
    <t>HST0381</t>
  </si>
  <si>
    <t>HST0382</t>
  </si>
  <si>
    <t>HST0383</t>
  </si>
  <si>
    <t>HST0384</t>
  </si>
  <si>
    <t>HST0385</t>
  </si>
  <si>
    <t>HST0386</t>
  </si>
  <si>
    <t>HST0387</t>
  </si>
  <si>
    <t>HST0388</t>
  </si>
  <si>
    <t>HST0389</t>
  </si>
  <si>
    <t>HST0390</t>
  </si>
  <si>
    <t>HST0391</t>
  </si>
  <si>
    <t>HST0392</t>
  </si>
  <si>
    <t>HST0393</t>
  </si>
  <si>
    <t>HST0394</t>
  </si>
  <si>
    <t>HST0395</t>
  </si>
  <si>
    <t>HST0396</t>
  </si>
  <si>
    <t>HST0397</t>
  </si>
  <si>
    <t>HST0398</t>
  </si>
  <si>
    <t>HST0399</t>
  </si>
  <si>
    <t>HST0400</t>
  </si>
  <si>
    <t>HST0401</t>
  </si>
  <si>
    <t>HST0402</t>
  </si>
  <si>
    <t>HST0403</t>
  </si>
  <si>
    <t>HST0404</t>
  </si>
  <si>
    <t>HST0405</t>
  </si>
  <si>
    <t>HST0406</t>
  </si>
  <si>
    <t>HST0407</t>
  </si>
  <si>
    <t>HST0408</t>
  </si>
  <si>
    <t>HST0409</t>
  </si>
  <si>
    <t>HST0410</t>
  </si>
  <si>
    <t>HST0411</t>
  </si>
  <si>
    <t>HST0412</t>
  </si>
  <si>
    <t>HST0413</t>
  </si>
  <si>
    <t>HST0414</t>
  </si>
  <si>
    <t>HST0415</t>
  </si>
  <si>
    <t>HST0416</t>
  </si>
  <si>
    <t>HST0417</t>
  </si>
  <si>
    <t>HST0418</t>
  </si>
  <si>
    <t>HST0419</t>
  </si>
  <si>
    <t>HST0420</t>
  </si>
  <si>
    <t>HST0421</t>
  </si>
  <si>
    <t>HST0422</t>
  </si>
  <si>
    <t>HST0423</t>
  </si>
  <si>
    <t>HST0424</t>
  </si>
  <si>
    <t>HST0425</t>
  </si>
  <si>
    <t>HST0426</t>
  </si>
  <si>
    <t>HST0427</t>
  </si>
  <si>
    <t>HST0428</t>
  </si>
  <si>
    <t>HST0429</t>
  </si>
  <si>
    <t>HST0430</t>
  </si>
  <si>
    <t>HST0431</t>
  </si>
  <si>
    <t>HST0432</t>
  </si>
  <si>
    <t>HST0433</t>
  </si>
  <si>
    <t>HST0434</t>
  </si>
  <si>
    <t>HST0435</t>
  </si>
  <si>
    <t>HST0436</t>
  </si>
  <si>
    <t>HST0437</t>
  </si>
  <si>
    <t>HST0438</t>
  </si>
  <si>
    <t>HST0439</t>
  </si>
  <si>
    <t>HST0440</t>
  </si>
  <si>
    <t>HST0441</t>
  </si>
  <si>
    <t>HST0442</t>
  </si>
  <si>
    <t>HST0443</t>
  </si>
  <si>
    <t>HST0444</t>
  </si>
  <si>
    <t>HST0445</t>
  </si>
  <si>
    <t>HST0446</t>
  </si>
  <si>
    <t>HST0447</t>
  </si>
  <si>
    <t>HST0448</t>
  </si>
  <si>
    <t>HST0449</t>
  </si>
  <si>
    <t>HST0450</t>
  </si>
  <si>
    <t>HST0451</t>
  </si>
  <si>
    <t>HST0452</t>
  </si>
  <si>
    <t>HST0453</t>
  </si>
  <si>
    <t>HST0454</t>
  </si>
  <si>
    <t>HST0455</t>
  </si>
  <si>
    <t>HST0456</t>
  </si>
  <si>
    <t>HST0457</t>
  </si>
  <si>
    <t>HST0458</t>
  </si>
  <si>
    <t>HST0459</t>
  </si>
  <si>
    <t>HST0460</t>
  </si>
  <si>
    <t>HST0461</t>
  </si>
  <si>
    <t>HST0462</t>
  </si>
  <si>
    <t>HST0463</t>
  </si>
  <si>
    <t>HST0464</t>
  </si>
  <si>
    <t>HST0465</t>
  </si>
  <si>
    <t>HST0466</t>
  </si>
  <si>
    <t>HST0467</t>
  </si>
  <si>
    <t>HST0468</t>
  </si>
  <si>
    <t>HST0469</t>
  </si>
  <si>
    <t>HST0470</t>
  </si>
  <si>
    <t>HST0471</t>
  </si>
  <si>
    <t>HST0472</t>
  </si>
  <si>
    <t>HST0473</t>
  </si>
  <si>
    <t>HST0474</t>
  </si>
  <si>
    <t>HST0475</t>
  </si>
  <si>
    <t>HST0476</t>
  </si>
  <si>
    <t>HST0477</t>
  </si>
  <si>
    <t>HST0478</t>
  </si>
  <si>
    <t>HST0479</t>
  </si>
  <si>
    <t>HST0480</t>
  </si>
  <si>
    <t>HST0481</t>
  </si>
  <si>
    <t>HST0482</t>
  </si>
  <si>
    <t>HST0483</t>
  </si>
  <si>
    <t>HST0484</t>
  </si>
  <si>
    <t>HST0485</t>
  </si>
  <si>
    <t>HST0486</t>
  </si>
  <si>
    <t>HST0487</t>
  </si>
  <si>
    <t>HST0488</t>
  </si>
  <si>
    <t>HST0489</t>
  </si>
  <si>
    <t>HST0490</t>
  </si>
  <si>
    <t>HST0491</t>
  </si>
  <si>
    <t>HST0492</t>
  </si>
  <si>
    <t>HST0493</t>
  </si>
  <si>
    <t>HST0494</t>
  </si>
  <si>
    <t>HST0495</t>
  </si>
  <si>
    <t>HST0496</t>
  </si>
  <si>
    <t>HST0497</t>
  </si>
  <si>
    <t>HST0498</t>
  </si>
  <si>
    <t>HST0499</t>
  </si>
  <si>
    <t>HST0500</t>
  </si>
  <si>
    <t>METRIC</t>
  </si>
  <si>
    <t>VALUE</t>
  </si>
  <si>
    <t>Total Hostels</t>
  </si>
  <si>
    <t>Average Rent</t>
  </si>
  <si>
    <t>Minimum Rent</t>
  </si>
  <si>
    <t>Maximum Rent</t>
  </si>
  <si>
    <t>Average Rating</t>
  </si>
  <si>
    <t>Average Distance</t>
  </si>
  <si>
    <t>Total Beds</t>
  </si>
  <si>
    <t>Occupied Beds</t>
  </si>
  <si>
    <t>Available Beds</t>
  </si>
  <si>
    <t>Average Occupancy</t>
  </si>
  <si>
    <t>Total Complaints</t>
  </si>
  <si>
    <t>Row Labels</t>
  </si>
  <si>
    <t>Grand Total</t>
  </si>
  <si>
    <t>Count of Hostel_ID</t>
  </si>
  <si>
    <t>Average of Annual_Rent_GHS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</si>
</sst>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GH₵&quot;#,##0.00"/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4" formatCode="&quot;GH₵&quot;#,##0.00"/>
    </dxf>
    <dxf>
      <numFmt numFmtId="164" formatCode="&quot;GH₵&quot;#,##0.00"/>
    </dxf>
    <dxf>
      <numFmt numFmtId="2" formatCode="0.00"/>
    </dxf>
    <dxf>
      <numFmt numFmtId="164" formatCode="&quot;GH₵&quot;#,##0.00"/>
    </dxf>
    <dxf>
      <numFmt numFmtId="2" formatCode="0.00"/>
    </dxf>
    <dxf>
      <numFmt numFmtId="164" formatCode="&quot;GH₵&quot;#,##0.00"/>
    </dxf>
    <dxf>
      <numFmt numFmtId="170" formatCode="0.0"/>
    </dxf>
    <dxf>
      <numFmt numFmtId="2" formatCode="0.00"/>
    </dxf>
    <dxf>
      <numFmt numFmtId="169" formatCode="0.000"/>
    </dxf>
    <dxf>
      <numFmt numFmtId="168" formatCode="0.0000"/>
    </dxf>
    <dxf>
      <numFmt numFmtId="167" formatCode="0.00000"/>
    </dxf>
    <dxf>
      <numFmt numFmtId="166" formatCode="yyyy\-mm\-dd;@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[HostelData.xlsx]Hostels By 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Hostels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'Hostels By Location'!$B$1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'Hostels By Location'!$A$2:$A$10</c:f>
              <c:strCache>
                <c:ptCount val="8"/>
                <c:pt idx="0">
                  <c:v>Abura</c:v>
                </c:pt>
                <c:pt idx="1">
                  <c:v>Amamoma</c:v>
                </c:pt>
                <c:pt idx="2">
                  <c:v>Ayensu</c:v>
                </c:pt>
                <c:pt idx="3">
                  <c:v>Cape Coast</c:v>
                </c:pt>
                <c:pt idx="4">
                  <c:v>Kotokuraba</c:v>
                </c:pt>
                <c:pt idx="5">
                  <c:v>Kwaprow</c:v>
                </c:pt>
                <c:pt idx="6">
                  <c:v>Pedu</c:v>
                </c:pt>
                <c:pt idx="7">
                  <c:v>University Area</c:v>
                </c:pt>
              </c:strCache>
            </c:strRef>
          </c:cat>
          <c:val>
            <c:numRef>
              <c:f>'Hostels By Location'!$B$2:$B$10</c:f>
              <c:numCache>
                <c:formatCode>General</c:formatCode>
                <c:ptCount val="8"/>
                <c:pt idx="0">
                  <c:v>46</c:v>
                </c:pt>
                <c:pt idx="1">
                  <c:v>55</c:v>
                </c:pt>
                <c:pt idx="2">
                  <c:v>54</c:v>
                </c:pt>
                <c:pt idx="3">
                  <c:v>66</c:v>
                </c:pt>
                <c:pt idx="4">
                  <c:v>77</c:v>
                </c:pt>
                <c:pt idx="5">
                  <c:v>61</c:v>
                </c:pt>
                <c:pt idx="6">
                  <c:v>76</c:v>
                </c:pt>
                <c:pt idx="7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4-42B8-8FCE-22336A090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65279839"/>
        <c:axId val="910721855"/>
        <c:axId val="0"/>
      </c:bar3DChart>
      <c:catAx>
        <c:axId val="965279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10721855"/>
        <c:crosses val="autoZero"/>
        <c:auto val="1"/>
        <c:lblAlgn val="ctr"/>
        <c:lblOffset val="100"/>
        <c:noMultiLvlLbl val="0"/>
      </c:catAx>
      <c:valAx>
        <c:axId val="91072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6527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[HostelData.xlsx]Average Rent By Location!PivotTable1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Rent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'Average Rent By Location'!$B$1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'Average Rent By Location'!$A$2:$A$10</c:f>
              <c:strCache>
                <c:ptCount val="8"/>
                <c:pt idx="0">
                  <c:v>Abura</c:v>
                </c:pt>
                <c:pt idx="1">
                  <c:v>Amamoma</c:v>
                </c:pt>
                <c:pt idx="2">
                  <c:v>Ayensu</c:v>
                </c:pt>
                <c:pt idx="3">
                  <c:v>Cape Coast</c:v>
                </c:pt>
                <c:pt idx="4">
                  <c:v>Kotokuraba</c:v>
                </c:pt>
                <c:pt idx="5">
                  <c:v>Kwaprow</c:v>
                </c:pt>
                <c:pt idx="6">
                  <c:v>Pedu</c:v>
                </c:pt>
                <c:pt idx="7">
                  <c:v>University Area</c:v>
                </c:pt>
              </c:strCache>
            </c:strRef>
          </c:cat>
          <c:val>
            <c:numRef>
              <c:f>'Average Rent By Location'!$B$2:$B$10</c:f>
              <c:numCache>
                <c:formatCode>"GH₵"#,##0.00</c:formatCode>
                <c:ptCount val="8"/>
                <c:pt idx="0">
                  <c:v>4989.130434782609</c:v>
                </c:pt>
                <c:pt idx="1">
                  <c:v>5510</c:v>
                </c:pt>
                <c:pt idx="2">
                  <c:v>5783.333333333333</c:v>
                </c:pt>
                <c:pt idx="3">
                  <c:v>4809.090909090909</c:v>
                </c:pt>
                <c:pt idx="4">
                  <c:v>5193.5064935064938</c:v>
                </c:pt>
                <c:pt idx="5">
                  <c:v>5192.622950819672</c:v>
                </c:pt>
                <c:pt idx="6">
                  <c:v>5233.5526315789475</c:v>
                </c:pt>
                <c:pt idx="7">
                  <c:v>4947.6923076923076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8-45C7-AEC5-E35694C04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8872191"/>
        <c:axId val="948987343"/>
        <c:axId val="0"/>
      </c:bar3DChart>
      <c:catAx>
        <c:axId val="94887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48987343"/>
        <c:crosses val="autoZero"/>
        <c:auto val="1"/>
        <c:lblAlgn val="ctr"/>
        <c:lblOffset val="100"/>
        <c:noMultiLvlLbl val="0"/>
      </c:catAx>
      <c:valAx>
        <c:axId val="94898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GH₵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4887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[HostelData.xlsx]Verification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Hostel Verification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'Verification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'Verification Analysis'!$A$2:$A$5</c:f>
              <c:strCache>
                <c:ptCount val="3"/>
                <c:pt idx="0">
                  <c:v>Not Verified</c:v>
                </c:pt>
                <c:pt idx="1">
                  <c:v>Pending Review</c:v>
                </c:pt>
                <c:pt idx="2">
                  <c:v>Verified</c:v>
                </c:pt>
              </c:strCache>
            </c:strRef>
          </c:cat>
          <c:val>
            <c:numRef>
              <c:f>'Verification Analysis'!$B$2:$B$5</c:f>
              <c:numCache>
                <c:formatCode>General</c:formatCode>
                <c:ptCount val="3"/>
                <c:pt idx="0">
                  <c:v>68</c:v>
                </c:pt>
                <c:pt idx="1">
                  <c:v>332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E1-4B50-BD00-D9EC42860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0</xdr:row>
      <xdr:rowOff>15240</xdr:rowOff>
    </xdr:from>
    <xdr:to>
      <xdr:col>11</xdr:col>
      <xdr:colOff>358140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509DE-00F6-4938-927E-F4370CA39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121920</xdr:rowOff>
    </xdr:from>
    <xdr:to>
      <xdr:col>15</xdr:col>
      <xdr:colOff>228600</xdr:colOff>
      <xdr:row>27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110A5-28DF-49C1-843F-ADD18EA8A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8</xdr:row>
      <xdr:rowOff>167640</xdr:rowOff>
    </xdr:from>
    <xdr:to>
      <xdr:col>12</xdr:col>
      <xdr:colOff>228600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3B2A0-3FDF-4D34-9BD2-5BF19DC898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ot Teye" refreshedDate="46282.630131018515" createdVersion="6" refreshedVersion="6" minRefreshableVersion="3" recordCount="500" xr:uid="{6B337787-7B94-4394-9BC8-99AF544FAD0E}">
  <cacheSource type="worksheet">
    <worksheetSource name="Table1"/>
  </cacheSource>
  <cacheFields count="21">
    <cacheField name="Hostel_ID" numFmtId="0">
      <sharedItems/>
    </cacheField>
    <cacheField name="Hostel_Name" numFmtId="0">
      <sharedItems/>
    </cacheField>
    <cacheField name="Location" numFmtId="0">
      <sharedItems count="8">
        <s v="Amamoma"/>
        <s v="Ayensu"/>
        <s v="Kwaprow"/>
        <s v="Pedu"/>
        <s v="Kotokuraba"/>
        <s v="Cape Coast"/>
        <s v="University Area"/>
        <s v="Abura"/>
      </sharedItems>
    </cacheField>
    <cacheField name="Distance_from_Campus_km" numFmtId="0">
      <sharedItems containsSemiMixedTypes="0" containsString="0" containsNumber="1" minValue="0.2" maxValue="7.5"/>
    </cacheField>
    <cacheField name="Room_Type" numFmtId="0">
      <sharedItems/>
    </cacheField>
    <cacheField name="Gender" numFmtId="0">
      <sharedItems/>
    </cacheField>
    <cacheField name="Annual_Rent_GHS" numFmtId="0">
      <sharedItems containsSemiMixedTypes="0" containsString="0" containsNumber="1" containsInteger="1" minValue="1800" maxValue="12000"/>
    </cacheField>
    <cacheField name="Number_of_Rooms" numFmtId="0">
      <sharedItems containsSemiMixedTypes="0" containsString="0" containsNumber="1" containsInteger="1" minValue="8" maxValue="45"/>
    </cacheField>
    <cacheField name="Total_Beds" numFmtId="0">
      <sharedItems containsSemiMixedTypes="0" containsString="0" containsNumber="1" containsInteger="1" minValue="8" maxValue="180"/>
    </cacheField>
    <cacheField name="Occupied_Beds" numFmtId="0">
      <sharedItems containsSemiMixedTypes="0" containsString="0" containsNumber="1" containsInteger="1" minValue="4" maxValue="160"/>
    </cacheField>
    <cacheField name="Occupancy_Rate_%" numFmtId="0">
      <sharedItems containsSemiMixedTypes="0" containsString="0" containsNumber="1" minValue="30.8" maxValue="100"/>
    </cacheField>
    <cacheField name="Water_Available" numFmtId="0">
      <sharedItems/>
    </cacheField>
    <cacheField name="Electricity_Available" numFmtId="0">
      <sharedItems/>
    </cacheField>
    <cacheField name="Fire_Safety_Equipment" numFmtId="0">
      <sharedItems/>
    </cacheField>
    <cacheField name="Documents_Verified" numFmtId="0">
      <sharedItems/>
    </cacheField>
    <cacheField name="Physical_Inspection_Passed" numFmtId="0">
      <sharedItems/>
    </cacheField>
    <cacheField name="Verification_Status" numFmtId="0">
      <sharedItems count="3">
        <s v="Pending Review"/>
        <s v="Verified"/>
        <s v="Not Verified"/>
      </sharedItems>
    </cacheField>
    <cacheField name="Inspection_Date" numFmtId="14">
      <sharedItems containsSemiMixedTypes="0" containsNonDate="0" containsDate="1" containsString="0" minDate="2025-01-15T00:00:00" maxDate="2026-07-25T00:00:00"/>
    </cacheField>
    <cacheField name="Student_Rating" numFmtId="0">
      <sharedItems containsSemiMixedTypes="0" containsString="0" containsNumber="1" minValue="2.4" maxValue="5"/>
    </cacheField>
    <cacheField name="Reported_Complaints" numFmtId="0">
      <sharedItems containsSemiMixedTypes="0" containsString="0" containsNumber="1" containsInteger="1" minValue="0" maxValue="18"/>
    </cacheField>
    <cacheField name="Last_Verified_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HST0001"/>
    <s v="Sunrise Hostel"/>
    <x v="0"/>
    <n v="5.6"/>
    <s v="2-in-a-room"/>
    <s v="Mixed"/>
    <n v="5250"/>
    <n v="16"/>
    <n v="32"/>
    <n v="14"/>
    <n v="43.8"/>
    <s v="Yes"/>
    <s v="Yes"/>
    <s v="Yes"/>
    <s v="Yes"/>
    <s v="No"/>
    <x v="0"/>
    <d v="2026-07-22T00:00:00"/>
    <n v="4.0999999999999996"/>
    <n v="6"/>
    <s v="Hostel Verification Team"/>
  </r>
  <r>
    <s v="HST0002"/>
    <s v="Peace Haven Hostel"/>
    <x v="1"/>
    <n v="1.8"/>
    <s v="3-in-a-room"/>
    <s v="Male"/>
    <n v="5500"/>
    <n v="8"/>
    <n v="24"/>
    <n v="13"/>
    <n v="54.2"/>
    <s v="Yes"/>
    <s v="Yes"/>
    <s v="Yes"/>
    <s v="Yes"/>
    <s v="Yes"/>
    <x v="1"/>
    <d v="2026-03-18T00:00:00"/>
    <n v="4.7"/>
    <n v="3"/>
    <s v="Hostel Verification Team"/>
  </r>
  <r>
    <s v="HST0003"/>
    <s v="Comfort Zone Hostel"/>
    <x v="2"/>
    <n v="2.8"/>
    <s v="3-in-a-room"/>
    <s v="Mixed"/>
    <n v="4750"/>
    <n v="24"/>
    <n v="72"/>
    <n v="27"/>
    <n v="37.5"/>
    <s v="Yes"/>
    <s v="Yes"/>
    <s v="Yes"/>
    <s v="Yes"/>
    <s v="No"/>
    <x v="0"/>
    <d v="2026-04-25T00:00:00"/>
    <n v="4.0999999999999996"/>
    <n v="18"/>
    <s v="Hostel Verification Team"/>
  </r>
  <r>
    <s v="HST0004"/>
    <s v="Golden Gate Hostel"/>
    <x v="3"/>
    <n v="7.4"/>
    <s v="2-in-a-room"/>
    <s v="Mixed"/>
    <n v="4250"/>
    <n v="32"/>
    <n v="64"/>
    <n v="39"/>
    <n v="60.9"/>
    <s v="Yes"/>
    <s v="Yes"/>
    <s v="Yes"/>
    <s v="Yes"/>
    <s v="Yes"/>
    <x v="1"/>
    <d v="2026-04-19T00:00:00"/>
    <n v="4.2"/>
    <n v="8"/>
    <s v="Hostel Verification Team"/>
  </r>
  <r>
    <s v="HST0005"/>
    <s v="Royal Palm Hostel"/>
    <x v="4"/>
    <n v="4.0999999999999996"/>
    <s v="2-in-a-room"/>
    <s v="Mixed"/>
    <n v="4750"/>
    <n v="37"/>
    <n v="74"/>
    <n v="49"/>
    <n v="66.2"/>
    <s v="Yes"/>
    <s v="Yes"/>
    <s v="Yes"/>
    <s v="Yes"/>
    <s v="Yes"/>
    <x v="1"/>
    <d v="2025-10-13T00:00:00"/>
    <n v="3.8"/>
    <n v="10"/>
    <s v="Hostel Verification Team"/>
  </r>
  <r>
    <s v="HST0006"/>
    <s v="New Era Hostel"/>
    <x v="5"/>
    <n v="5"/>
    <s v="4-in-a-room"/>
    <s v="Female"/>
    <n v="4300"/>
    <n v="37"/>
    <n v="148"/>
    <n v="69"/>
    <n v="46.6"/>
    <s v="Yes"/>
    <s v="No"/>
    <s v="No"/>
    <s v="Yes"/>
    <s v="Yes"/>
    <x v="0"/>
    <d v="2025-10-08T00:00:00"/>
    <n v="4.0999999999999996"/>
    <n v="18"/>
    <s v="Hostel Verification Team"/>
  </r>
  <r>
    <s v="HST0007"/>
    <s v="Starlight Hostel"/>
    <x v="5"/>
    <n v="7.5"/>
    <s v="2-in-a-room"/>
    <s v="Female"/>
    <n v="7500"/>
    <n v="39"/>
    <n v="78"/>
    <n v="32"/>
    <n v="41"/>
    <s v="Yes"/>
    <s v="No"/>
    <s v="No"/>
    <s v="Yes"/>
    <s v="Yes"/>
    <x v="0"/>
    <d v="2025-02-27T00:00:00"/>
    <n v="3.4"/>
    <n v="2"/>
    <s v="Hostel Verification Team"/>
  </r>
  <r>
    <s v="HST0008"/>
    <s v="Victory Hostel"/>
    <x v="3"/>
    <n v="7.3"/>
    <s v="Single"/>
    <s v="Female"/>
    <n v="10750"/>
    <n v="15"/>
    <n v="15"/>
    <n v="15"/>
    <n v="100"/>
    <s v="Yes"/>
    <s v="No"/>
    <s v="Yes"/>
    <s v="Yes"/>
    <s v="Yes"/>
    <x v="0"/>
    <d v="2026-07-13T00:00:00"/>
    <n v="4.5"/>
    <n v="5"/>
    <s v="Hostel Verification Team"/>
  </r>
  <r>
    <s v="HST0009"/>
    <s v="Campus View Hostel"/>
    <x v="3"/>
    <n v="7.3"/>
    <s v="2-in-a-room"/>
    <s v="Female"/>
    <n v="7500"/>
    <n v="14"/>
    <n v="28"/>
    <n v="18"/>
    <n v="64.3"/>
    <s v="Yes"/>
    <s v="Yes"/>
    <s v="Yes"/>
    <s v="Yes"/>
    <s v="Yes"/>
    <x v="1"/>
    <d v="2026-06-13T00:00:00"/>
    <n v="3.7"/>
    <n v="10"/>
    <s v="Hostel Verification Team"/>
  </r>
  <r>
    <s v="HST0010"/>
    <s v="Scholar's Lodge"/>
    <x v="5"/>
    <n v="0.6"/>
    <s v="Single"/>
    <s v="Mixed"/>
    <n v="6000"/>
    <n v="39"/>
    <n v="39"/>
    <n v="39"/>
    <n v="100"/>
    <s v="No"/>
    <s v="Yes"/>
    <s v="No"/>
    <s v="Yes"/>
    <s v="Yes"/>
    <x v="0"/>
    <d v="2025-03-21T00:00:00"/>
    <n v="4"/>
    <n v="8"/>
    <s v="Hostel Verification Team"/>
  </r>
  <r>
    <s v="HST0011"/>
    <s v="Hilltop Hostel"/>
    <x v="1"/>
    <n v="7.2"/>
    <s v="2-in-a-room"/>
    <s v="Male"/>
    <n v="5750"/>
    <n v="33"/>
    <n v="66"/>
    <n v="65"/>
    <n v="98.5"/>
    <s v="Yes"/>
    <s v="Yes"/>
    <s v="Yes"/>
    <s v="No"/>
    <s v="No"/>
    <x v="0"/>
    <d v="2026-01-27T00:00:00"/>
    <n v="3.6"/>
    <n v="2"/>
    <s v="Hostel Verification Team"/>
  </r>
  <r>
    <s v="HST0012"/>
    <s v="Garden City Hostel"/>
    <x v="5"/>
    <n v="0.3"/>
    <s v="Single"/>
    <s v="Male"/>
    <n v="7250"/>
    <n v="12"/>
    <n v="12"/>
    <n v="4"/>
    <n v="33.299999999999997"/>
    <s v="No"/>
    <s v="Yes"/>
    <s v="Yes"/>
    <s v="Yes"/>
    <s v="Yes"/>
    <x v="0"/>
    <d v="2025-12-14T00:00:00"/>
    <n v="4.5999999999999996"/>
    <n v="17"/>
    <s v="Hostel Verification Team"/>
  </r>
  <r>
    <s v="HST0013"/>
    <s v="Garden City Hostel"/>
    <x v="6"/>
    <n v="2"/>
    <s v="4-in-a-room"/>
    <s v="Male"/>
    <n v="3300"/>
    <n v="20"/>
    <n v="80"/>
    <n v="34"/>
    <n v="42.5"/>
    <s v="No"/>
    <s v="No"/>
    <s v="Yes"/>
    <s v="No"/>
    <s v="Yes"/>
    <x v="2"/>
    <d v="2025-04-19T00:00:00"/>
    <n v="3.3"/>
    <n v="1"/>
    <s v="Hostel Verification Team"/>
  </r>
  <r>
    <s v="HST0014"/>
    <s v="Green Valley Hostel"/>
    <x v="1"/>
    <n v="5.5"/>
    <s v="Single"/>
    <s v="Male"/>
    <n v="7250"/>
    <n v="20"/>
    <n v="20"/>
    <n v="10"/>
    <n v="50"/>
    <s v="Yes"/>
    <s v="Yes"/>
    <s v="Yes"/>
    <s v="No"/>
    <s v="Yes"/>
    <x v="0"/>
    <d v="2026-07-13T00:00:00"/>
    <n v="2.6"/>
    <n v="14"/>
    <s v="Hostel Verification Team"/>
  </r>
  <r>
    <s v="HST0015"/>
    <s v="Royal Palm Hostel"/>
    <x v="6"/>
    <n v="6.1"/>
    <s v="Single"/>
    <s v="Male"/>
    <n v="5750"/>
    <n v="42"/>
    <n v="42"/>
    <n v="40"/>
    <n v="95.2"/>
    <s v="No"/>
    <s v="No"/>
    <s v="Yes"/>
    <s v="Yes"/>
    <s v="Yes"/>
    <x v="0"/>
    <d v="2025-01-25T00:00:00"/>
    <n v="4.0999999999999996"/>
    <n v="15"/>
    <s v="Hostel Verification Team"/>
  </r>
  <r>
    <s v="HST0016"/>
    <s v="University Heights Hostel"/>
    <x v="1"/>
    <n v="0.2"/>
    <s v="4-in-a-room"/>
    <s v="Mixed"/>
    <n v="2800"/>
    <n v="37"/>
    <n v="148"/>
    <n v="87"/>
    <n v="58.8"/>
    <s v="Yes"/>
    <s v="Yes"/>
    <s v="Yes"/>
    <s v="No"/>
    <s v="Yes"/>
    <x v="0"/>
    <d v="2026-03-19T00:00:00"/>
    <n v="4.5"/>
    <n v="1"/>
    <s v="Hostel Verification Team"/>
  </r>
  <r>
    <s v="HST0017"/>
    <s v="Prime Scholars Hostel"/>
    <x v="0"/>
    <n v="5.7"/>
    <s v="Single"/>
    <s v="Male"/>
    <n v="5750"/>
    <n v="45"/>
    <n v="45"/>
    <n v="30"/>
    <n v="66.7"/>
    <s v="Yes"/>
    <s v="Yes"/>
    <s v="No"/>
    <s v="Yes"/>
    <s v="Yes"/>
    <x v="0"/>
    <d v="2026-06-08T00:00:00"/>
    <n v="3.3"/>
    <n v="2"/>
    <s v="Hostel Verification Team"/>
  </r>
  <r>
    <s v="HST0018"/>
    <s v="Comfort Zone Hostel"/>
    <x v="2"/>
    <n v="7.1"/>
    <s v="2-in-a-room"/>
    <s v="Female"/>
    <n v="3750"/>
    <n v="13"/>
    <n v="26"/>
    <n v="22"/>
    <n v="84.6"/>
    <s v="Yes"/>
    <s v="Yes"/>
    <s v="Yes"/>
    <s v="Yes"/>
    <s v="Yes"/>
    <x v="1"/>
    <d v="2026-06-29T00:00:00"/>
    <n v="3.5"/>
    <n v="8"/>
    <s v="Hostel Verification Team"/>
  </r>
  <r>
    <s v="HST0019"/>
    <s v="Ocean Breeze Hostel"/>
    <x v="3"/>
    <n v="3.5"/>
    <s v="Single"/>
    <s v="Female"/>
    <n v="5500"/>
    <n v="37"/>
    <n v="37"/>
    <n v="31"/>
    <n v="83.8"/>
    <s v="Yes"/>
    <s v="Yes"/>
    <s v="No"/>
    <s v="Yes"/>
    <s v="Yes"/>
    <x v="0"/>
    <d v="2025-04-22T00:00:00"/>
    <n v="4.8"/>
    <n v="11"/>
    <s v="Hostel Verification Team"/>
  </r>
  <r>
    <s v="HST0020"/>
    <s v="Scholar's Lodge"/>
    <x v="4"/>
    <n v="3.4"/>
    <s v="3-in-a-room"/>
    <s v="Male"/>
    <n v="4750"/>
    <n v="41"/>
    <n v="123"/>
    <n v="44"/>
    <n v="35.799999999999997"/>
    <s v="Yes"/>
    <s v="Yes"/>
    <s v="Yes"/>
    <s v="Yes"/>
    <s v="Yes"/>
    <x v="1"/>
    <d v="2025-11-12T00:00:00"/>
    <n v="3.2"/>
    <n v="17"/>
    <s v="Hostel Verification Team"/>
  </r>
  <r>
    <s v="HST0021"/>
    <s v="Blue Sky Hostel"/>
    <x v="3"/>
    <n v="4.5999999999999996"/>
    <s v="3-in-a-room"/>
    <s v="Mixed"/>
    <n v="3250"/>
    <n v="24"/>
    <n v="72"/>
    <n v="57"/>
    <n v="79.2"/>
    <s v="No"/>
    <s v="Yes"/>
    <s v="Yes"/>
    <s v="Yes"/>
    <s v="Yes"/>
    <x v="0"/>
    <d v="2026-05-25T00:00:00"/>
    <n v="4.9000000000000004"/>
    <n v="1"/>
    <s v="Hostel Verification Team"/>
  </r>
  <r>
    <s v="HST0022"/>
    <s v="Blue Sky Hostel"/>
    <x v="4"/>
    <n v="5.6"/>
    <s v="4-in-a-room"/>
    <s v="Male"/>
    <n v="3800"/>
    <n v="8"/>
    <n v="32"/>
    <n v="14"/>
    <n v="43.8"/>
    <s v="Yes"/>
    <s v="No"/>
    <s v="Yes"/>
    <s v="Yes"/>
    <s v="Yes"/>
    <x v="0"/>
    <d v="2025-03-28T00:00:00"/>
    <n v="4"/>
    <n v="4"/>
    <s v="Hostel Verification Team"/>
  </r>
  <r>
    <s v="HST0023"/>
    <s v="Scholar's Lodge"/>
    <x v="7"/>
    <n v="6.8"/>
    <s v="Single"/>
    <s v="Male"/>
    <n v="8250"/>
    <n v="21"/>
    <n v="21"/>
    <n v="17"/>
    <n v="81"/>
    <s v="No"/>
    <s v="Yes"/>
    <s v="No"/>
    <s v="Yes"/>
    <s v="Yes"/>
    <x v="0"/>
    <d v="2025-09-22T00:00:00"/>
    <n v="5"/>
    <n v="7"/>
    <s v="Hostel Verification Team"/>
  </r>
  <r>
    <s v="HST0024"/>
    <s v="Kings Court Hostel"/>
    <x v="0"/>
    <n v="1.5"/>
    <s v="3-in-a-room"/>
    <s v="Male"/>
    <n v="5500"/>
    <n v="34"/>
    <n v="102"/>
    <n v="66"/>
    <n v="64.7"/>
    <s v="Yes"/>
    <s v="No"/>
    <s v="Yes"/>
    <s v="Yes"/>
    <s v="Yes"/>
    <x v="0"/>
    <d v="2025-10-10T00:00:00"/>
    <n v="2.9"/>
    <n v="7"/>
    <s v="Hostel Verification Team"/>
  </r>
  <r>
    <s v="HST0025"/>
    <s v="Eagle's Nest Hostel"/>
    <x v="7"/>
    <n v="2.4"/>
    <s v="2-in-a-room"/>
    <s v="Mixed"/>
    <n v="5250"/>
    <n v="9"/>
    <n v="18"/>
    <n v="16"/>
    <n v="88.9"/>
    <s v="Yes"/>
    <s v="Yes"/>
    <s v="Yes"/>
    <s v="No"/>
    <s v="Yes"/>
    <x v="0"/>
    <d v="2025-07-26T00:00:00"/>
    <n v="3.6"/>
    <n v="11"/>
    <s v="Hostel Verification Team"/>
  </r>
  <r>
    <s v="HST0026"/>
    <s v="New Era Hostel"/>
    <x v="0"/>
    <n v="1"/>
    <s v="3-in-a-room"/>
    <s v="Male"/>
    <n v="3000"/>
    <n v="45"/>
    <n v="135"/>
    <n v="80"/>
    <n v="59.3"/>
    <s v="Yes"/>
    <s v="No"/>
    <s v="Yes"/>
    <s v="Yes"/>
    <s v="No"/>
    <x v="0"/>
    <d v="2025-02-18T00:00:00"/>
    <n v="3.6"/>
    <n v="16"/>
    <s v="Hostel Verification Team"/>
  </r>
  <r>
    <s v="HST0027"/>
    <s v="Comfort Zone Hostel"/>
    <x v="5"/>
    <n v="2.1"/>
    <s v="4-in-a-room"/>
    <s v="Female"/>
    <n v="1800"/>
    <n v="41"/>
    <n v="164"/>
    <n v="160"/>
    <n v="97.6"/>
    <s v="Yes"/>
    <s v="Yes"/>
    <s v="Yes"/>
    <s v="Yes"/>
    <s v="Yes"/>
    <x v="1"/>
    <d v="2026-07-15T00:00:00"/>
    <n v="3.9"/>
    <n v="10"/>
    <s v="Hostel Verification Team"/>
  </r>
  <r>
    <s v="HST0028"/>
    <s v="Victory Hostel"/>
    <x v="3"/>
    <n v="5.0999999999999996"/>
    <s v="3-in-a-room"/>
    <s v="Female"/>
    <n v="4000"/>
    <n v="26"/>
    <n v="78"/>
    <n v="62"/>
    <n v="79.5"/>
    <s v="No"/>
    <s v="Yes"/>
    <s v="No"/>
    <s v="Yes"/>
    <s v="No"/>
    <x v="2"/>
    <d v="2025-05-20T00:00:00"/>
    <n v="3.8"/>
    <n v="18"/>
    <s v="Hostel Verification Team"/>
  </r>
  <r>
    <s v="HST0029"/>
    <s v="Comfort Zone Hostel"/>
    <x v="0"/>
    <n v="2.4"/>
    <s v="2-in-a-room"/>
    <s v="Mixed"/>
    <n v="6750"/>
    <n v="45"/>
    <n v="90"/>
    <n v="69"/>
    <n v="76.7"/>
    <s v="Yes"/>
    <s v="No"/>
    <s v="Yes"/>
    <s v="No"/>
    <s v="No"/>
    <x v="2"/>
    <d v="2025-12-05T00:00:00"/>
    <n v="3.8"/>
    <n v="5"/>
    <s v="Hostel Verification Team"/>
  </r>
  <r>
    <s v="HST0030"/>
    <s v="Hilltop Hostel"/>
    <x v="7"/>
    <n v="0.9"/>
    <s v="2-in-a-room"/>
    <s v="Female"/>
    <n v="5750"/>
    <n v="22"/>
    <n v="44"/>
    <n v="40"/>
    <n v="90.9"/>
    <s v="Yes"/>
    <s v="No"/>
    <s v="Yes"/>
    <s v="Yes"/>
    <s v="Yes"/>
    <x v="0"/>
    <d v="2025-08-01T00:00:00"/>
    <n v="3.6"/>
    <n v="2"/>
    <s v="Hostel Verification Team"/>
  </r>
  <r>
    <s v="HST0031"/>
    <s v="Kings Court Hostel"/>
    <x v="5"/>
    <n v="5.4"/>
    <s v="4-in-a-room"/>
    <s v="Male"/>
    <n v="3550"/>
    <n v="33"/>
    <n v="132"/>
    <n v="77"/>
    <n v="58.3"/>
    <s v="Yes"/>
    <s v="Yes"/>
    <s v="Yes"/>
    <s v="Yes"/>
    <s v="Yes"/>
    <x v="1"/>
    <d v="2025-06-10T00:00:00"/>
    <n v="3.3"/>
    <n v="16"/>
    <s v="Hostel Verification Team"/>
  </r>
  <r>
    <s v="HST0032"/>
    <s v="Eagle's Nest Hostel"/>
    <x v="4"/>
    <n v="6.1"/>
    <s v="3-in-a-room"/>
    <s v="Male"/>
    <n v="5500"/>
    <n v="36"/>
    <n v="108"/>
    <n v="101"/>
    <n v="93.5"/>
    <s v="No"/>
    <s v="No"/>
    <s v="No"/>
    <s v="No"/>
    <s v="Yes"/>
    <x v="2"/>
    <d v="2026-03-22T00:00:00"/>
    <n v="4.2"/>
    <n v="8"/>
    <s v="Hostel Verification Team"/>
  </r>
  <r>
    <s v="HST0033"/>
    <s v="Blue Sky Hostel"/>
    <x v="6"/>
    <n v="4.8"/>
    <s v="3-in-a-room"/>
    <s v="Male"/>
    <n v="4250"/>
    <n v="12"/>
    <n v="36"/>
    <n v="34"/>
    <n v="94.4"/>
    <s v="Yes"/>
    <s v="Yes"/>
    <s v="Yes"/>
    <s v="Yes"/>
    <s v="Yes"/>
    <x v="1"/>
    <d v="2025-10-29T00:00:00"/>
    <n v="4.3"/>
    <n v="4"/>
    <s v="Hostel Verification Team"/>
  </r>
  <r>
    <s v="HST0034"/>
    <s v="Peace Haven Hostel"/>
    <x v="2"/>
    <n v="3.2"/>
    <s v="3-in-a-room"/>
    <s v="Male"/>
    <n v="4500"/>
    <n v="37"/>
    <n v="111"/>
    <n v="91"/>
    <n v="82"/>
    <s v="Yes"/>
    <s v="No"/>
    <s v="Yes"/>
    <s v="Yes"/>
    <s v="No"/>
    <x v="0"/>
    <d v="2025-03-14T00:00:00"/>
    <n v="4.4000000000000004"/>
    <n v="15"/>
    <s v="Hostel Verification Team"/>
  </r>
  <r>
    <s v="HST0035"/>
    <s v="Starlight Hostel"/>
    <x v="3"/>
    <n v="5.7"/>
    <s v="4-in-a-room"/>
    <s v="Female"/>
    <n v="3800"/>
    <n v="42"/>
    <n v="168"/>
    <n v="160"/>
    <n v="95.2"/>
    <s v="No"/>
    <s v="No"/>
    <s v="Yes"/>
    <s v="No"/>
    <s v="Yes"/>
    <x v="2"/>
    <d v="2025-08-23T00:00:00"/>
    <n v="3.4"/>
    <n v="0"/>
    <s v="Hostel Verification Team"/>
  </r>
  <r>
    <s v="HST0036"/>
    <s v="University Heights Hostel"/>
    <x v="6"/>
    <n v="6.9"/>
    <s v="Single"/>
    <s v="Female"/>
    <n v="8500"/>
    <n v="45"/>
    <n v="45"/>
    <n v="33"/>
    <n v="73.3"/>
    <s v="No"/>
    <s v="Yes"/>
    <s v="Yes"/>
    <s v="Yes"/>
    <s v="No"/>
    <x v="0"/>
    <d v="2025-02-06T00:00:00"/>
    <n v="4.5"/>
    <n v="1"/>
    <s v="Hostel Verification Team"/>
  </r>
  <r>
    <s v="HST0037"/>
    <s v="Comfort Zone Hostel"/>
    <x v="7"/>
    <n v="1.7"/>
    <s v="3-in-a-room"/>
    <s v="Mixed"/>
    <n v="3750"/>
    <n v="32"/>
    <n v="96"/>
    <n v="68"/>
    <n v="70.8"/>
    <s v="Yes"/>
    <s v="Yes"/>
    <s v="Yes"/>
    <s v="Yes"/>
    <s v="Yes"/>
    <x v="1"/>
    <d v="2026-03-17T00:00:00"/>
    <n v="4"/>
    <n v="11"/>
    <s v="Hostel Verification Team"/>
  </r>
  <r>
    <s v="HST0038"/>
    <s v="Green Valley Hostel"/>
    <x v="0"/>
    <n v="7.1"/>
    <s v="2-in-a-room"/>
    <s v="Female"/>
    <n v="3500"/>
    <n v="17"/>
    <n v="34"/>
    <n v="18"/>
    <n v="52.9"/>
    <s v="Yes"/>
    <s v="No"/>
    <s v="No"/>
    <s v="No"/>
    <s v="Yes"/>
    <x v="2"/>
    <d v="2025-05-19T00:00:00"/>
    <n v="4.2"/>
    <n v="8"/>
    <s v="Hostel Verification Team"/>
  </r>
  <r>
    <s v="HST0039"/>
    <s v="University Heights Hostel"/>
    <x v="2"/>
    <n v="5.9"/>
    <s v="2-in-a-room"/>
    <s v="Male"/>
    <n v="5750"/>
    <n v="14"/>
    <n v="28"/>
    <n v="27"/>
    <n v="96.4"/>
    <s v="Yes"/>
    <s v="Yes"/>
    <s v="Yes"/>
    <s v="Yes"/>
    <s v="No"/>
    <x v="0"/>
    <d v="2025-02-05T00:00:00"/>
    <n v="3.7"/>
    <n v="18"/>
    <s v="Hostel Verification Team"/>
  </r>
  <r>
    <s v="HST0040"/>
    <s v="Scholar's Lodge"/>
    <x v="2"/>
    <n v="6"/>
    <s v="Single"/>
    <s v="Female"/>
    <n v="8250"/>
    <n v="42"/>
    <n v="42"/>
    <n v="27"/>
    <n v="64.3"/>
    <s v="No"/>
    <s v="No"/>
    <s v="Yes"/>
    <s v="Yes"/>
    <s v="Yes"/>
    <x v="0"/>
    <d v="2026-01-24T00:00:00"/>
    <n v="3.3"/>
    <n v="3"/>
    <s v="Hostel Verification Team"/>
  </r>
  <r>
    <s v="HST0041"/>
    <s v="Starlight Hostel"/>
    <x v="6"/>
    <n v="5.4"/>
    <s v="4-in-a-room"/>
    <s v="Female"/>
    <n v="2300"/>
    <n v="41"/>
    <n v="164"/>
    <n v="140"/>
    <n v="85.4"/>
    <s v="Yes"/>
    <s v="Yes"/>
    <s v="Yes"/>
    <s v="No"/>
    <s v="No"/>
    <x v="0"/>
    <d v="2025-10-13T00:00:00"/>
    <n v="4.0999999999999996"/>
    <n v="7"/>
    <s v="Hostel Verification Team"/>
  </r>
  <r>
    <s v="HST0042"/>
    <s v="Golden Gate Hostel"/>
    <x v="6"/>
    <n v="4.4000000000000004"/>
    <s v="4-in-a-room"/>
    <s v="Female"/>
    <n v="3050"/>
    <n v="9"/>
    <n v="36"/>
    <n v="27"/>
    <n v="75"/>
    <s v="Yes"/>
    <s v="Yes"/>
    <s v="Yes"/>
    <s v="Yes"/>
    <s v="No"/>
    <x v="0"/>
    <d v="2025-12-08T00:00:00"/>
    <n v="3.8"/>
    <n v="10"/>
    <s v="Hostel Verification Team"/>
  </r>
  <r>
    <s v="HST0043"/>
    <s v="Hilltop Hostel"/>
    <x v="3"/>
    <n v="4.3"/>
    <s v="2-in-a-room"/>
    <s v="Male"/>
    <n v="4000"/>
    <n v="23"/>
    <n v="46"/>
    <n v="39"/>
    <n v="84.8"/>
    <s v="No"/>
    <s v="No"/>
    <s v="No"/>
    <s v="No"/>
    <s v="Yes"/>
    <x v="2"/>
    <d v="2026-03-02T00:00:00"/>
    <n v="4.0999999999999996"/>
    <n v="14"/>
    <s v="Hostel Verification Team"/>
  </r>
  <r>
    <s v="HST0044"/>
    <s v="Comfort Zone Hostel"/>
    <x v="5"/>
    <n v="2.4"/>
    <s v="3-in-a-room"/>
    <s v="Female"/>
    <n v="4250"/>
    <n v="43"/>
    <n v="129"/>
    <n v="112"/>
    <n v="86.8"/>
    <s v="No"/>
    <s v="Yes"/>
    <s v="Yes"/>
    <s v="No"/>
    <s v="Yes"/>
    <x v="0"/>
    <d v="2025-12-28T00:00:00"/>
    <n v="3.8"/>
    <n v="9"/>
    <s v="Hostel Verification Team"/>
  </r>
  <r>
    <s v="HST0045"/>
    <s v="Golden Gate Hostel"/>
    <x v="2"/>
    <n v="5.5"/>
    <s v="3-in-a-room"/>
    <s v="Female"/>
    <n v="2750"/>
    <n v="42"/>
    <n v="126"/>
    <n v="67"/>
    <n v="53.2"/>
    <s v="Yes"/>
    <s v="Yes"/>
    <s v="Yes"/>
    <s v="Yes"/>
    <s v="No"/>
    <x v="0"/>
    <d v="2025-07-25T00:00:00"/>
    <n v="3.9"/>
    <n v="6"/>
    <s v="Hostel Verification Team"/>
  </r>
  <r>
    <s v="HST0046"/>
    <s v="Campus View Hostel"/>
    <x v="4"/>
    <n v="2.2000000000000002"/>
    <s v="Single"/>
    <s v="Female"/>
    <n v="9750"/>
    <n v="26"/>
    <n v="26"/>
    <n v="13"/>
    <n v="50"/>
    <s v="Yes"/>
    <s v="No"/>
    <s v="No"/>
    <s v="Yes"/>
    <s v="Yes"/>
    <x v="0"/>
    <d v="2026-05-27T00:00:00"/>
    <n v="4.5"/>
    <n v="15"/>
    <s v="Hostel Verification Team"/>
  </r>
  <r>
    <s v="HST0047"/>
    <s v="New Era Hostel"/>
    <x v="4"/>
    <n v="7.2"/>
    <s v="3-in-a-room"/>
    <s v="Male"/>
    <n v="4250"/>
    <n v="15"/>
    <n v="45"/>
    <n v="41"/>
    <n v="91.1"/>
    <s v="Yes"/>
    <s v="Yes"/>
    <s v="Yes"/>
    <s v="No"/>
    <s v="No"/>
    <x v="0"/>
    <d v="2025-03-17T00:00:00"/>
    <n v="4.5"/>
    <n v="4"/>
    <s v="Hostel Verification Team"/>
  </r>
  <r>
    <s v="HST0048"/>
    <s v="Golden Gate Hostel"/>
    <x v="2"/>
    <n v="4.3"/>
    <s v="4-in-a-room"/>
    <s v="Mixed"/>
    <n v="4050"/>
    <n v="22"/>
    <n v="88"/>
    <n v="79"/>
    <n v="89.8"/>
    <s v="Yes"/>
    <s v="No"/>
    <s v="Yes"/>
    <s v="No"/>
    <s v="No"/>
    <x v="2"/>
    <d v="2026-06-29T00:00:00"/>
    <n v="2.8"/>
    <n v="9"/>
    <s v="Hostel Verification Team"/>
  </r>
  <r>
    <s v="HST0049"/>
    <s v="Hilltop Hostel"/>
    <x v="0"/>
    <n v="4.7"/>
    <s v="Single"/>
    <s v="Female"/>
    <n v="11500"/>
    <n v="21"/>
    <n v="21"/>
    <n v="17"/>
    <n v="81"/>
    <s v="Yes"/>
    <s v="Yes"/>
    <s v="Yes"/>
    <s v="Yes"/>
    <s v="Yes"/>
    <x v="1"/>
    <d v="2025-08-14T00:00:00"/>
    <n v="4"/>
    <n v="17"/>
    <s v="Hostel Verification Team"/>
  </r>
  <r>
    <s v="HST0050"/>
    <s v="Hilltop Hostel"/>
    <x v="6"/>
    <n v="2.2999999999999998"/>
    <s v="2-in-a-room"/>
    <s v="Mixed"/>
    <n v="5750"/>
    <n v="26"/>
    <n v="52"/>
    <n v="47"/>
    <n v="90.4"/>
    <s v="Yes"/>
    <s v="No"/>
    <s v="No"/>
    <s v="Yes"/>
    <s v="Yes"/>
    <x v="0"/>
    <d v="2025-03-23T00:00:00"/>
    <n v="4"/>
    <n v="3"/>
    <s v="Hostel Verification Team"/>
  </r>
  <r>
    <s v="HST0051"/>
    <s v="Golden Gate Hostel"/>
    <x v="4"/>
    <n v="6.8"/>
    <s v="2-in-a-room"/>
    <s v="Female"/>
    <n v="4000"/>
    <n v="11"/>
    <n v="22"/>
    <n v="12"/>
    <n v="54.5"/>
    <s v="No"/>
    <s v="Yes"/>
    <s v="Yes"/>
    <s v="Yes"/>
    <s v="No"/>
    <x v="0"/>
    <d v="2025-11-20T00:00:00"/>
    <n v="4.5999999999999996"/>
    <n v="12"/>
    <s v="Hostel Verification Team"/>
  </r>
  <r>
    <s v="HST0052"/>
    <s v="Eagle's Nest Hostel"/>
    <x v="2"/>
    <n v="4.5999999999999996"/>
    <s v="4-in-a-room"/>
    <s v="Male"/>
    <n v="4550"/>
    <n v="28"/>
    <n v="112"/>
    <n v="71"/>
    <n v="63.4"/>
    <s v="Yes"/>
    <s v="Yes"/>
    <s v="No"/>
    <s v="Yes"/>
    <s v="Yes"/>
    <x v="0"/>
    <d v="2025-02-05T00:00:00"/>
    <n v="3.8"/>
    <n v="18"/>
    <s v="Hostel Verification Team"/>
  </r>
  <r>
    <s v="HST0053"/>
    <s v="University Heights Hostel"/>
    <x v="6"/>
    <n v="4"/>
    <s v="4-in-a-room"/>
    <s v="Male"/>
    <n v="2800"/>
    <n v="19"/>
    <n v="76"/>
    <n v="63"/>
    <n v="82.9"/>
    <s v="Yes"/>
    <s v="No"/>
    <s v="Yes"/>
    <s v="No"/>
    <s v="Yes"/>
    <x v="0"/>
    <d v="2026-04-01T00:00:00"/>
    <n v="3.9"/>
    <n v="10"/>
    <s v="Hostel Verification Team"/>
  </r>
  <r>
    <s v="HST0054"/>
    <s v="New Era Hostel"/>
    <x v="1"/>
    <n v="5.3"/>
    <s v="3-in-a-room"/>
    <s v="Mixed"/>
    <n v="5000"/>
    <n v="33"/>
    <n v="99"/>
    <n v="38"/>
    <n v="38.4"/>
    <s v="Yes"/>
    <s v="Yes"/>
    <s v="Yes"/>
    <s v="Yes"/>
    <s v="Yes"/>
    <x v="1"/>
    <d v="2026-04-20T00:00:00"/>
    <n v="4.2"/>
    <n v="12"/>
    <s v="Hostel Verification Team"/>
  </r>
  <r>
    <s v="HST0055"/>
    <s v="Campus View Hostel"/>
    <x v="6"/>
    <n v="3.2"/>
    <s v="2-in-a-room"/>
    <s v="Male"/>
    <n v="7500"/>
    <n v="31"/>
    <n v="62"/>
    <n v="60"/>
    <n v="96.8"/>
    <s v="Yes"/>
    <s v="Yes"/>
    <s v="Yes"/>
    <s v="No"/>
    <s v="Yes"/>
    <x v="0"/>
    <d v="2026-06-04T00:00:00"/>
    <n v="3.2"/>
    <n v="9"/>
    <s v="Hostel Verification Team"/>
  </r>
  <r>
    <s v="HST0056"/>
    <s v="Campus View Hostel"/>
    <x v="5"/>
    <n v="5.4"/>
    <s v="3-in-a-room"/>
    <s v="Mixed"/>
    <n v="4500"/>
    <n v="8"/>
    <n v="24"/>
    <n v="21"/>
    <n v="87.5"/>
    <s v="Yes"/>
    <s v="Yes"/>
    <s v="Yes"/>
    <s v="Yes"/>
    <s v="Yes"/>
    <x v="1"/>
    <d v="2025-04-15T00:00:00"/>
    <n v="4.3"/>
    <n v="15"/>
    <s v="Hostel Verification Team"/>
  </r>
  <r>
    <s v="HST0057"/>
    <s v="Scholar's Lodge"/>
    <x v="3"/>
    <n v="3.2"/>
    <s v="4-in-a-room"/>
    <s v="Female"/>
    <n v="3550"/>
    <n v="23"/>
    <n v="92"/>
    <n v="61"/>
    <n v="66.3"/>
    <s v="Yes"/>
    <s v="Yes"/>
    <s v="No"/>
    <s v="No"/>
    <s v="Yes"/>
    <x v="0"/>
    <d v="2025-06-07T00:00:00"/>
    <n v="4.2"/>
    <n v="8"/>
    <s v="Hostel Verification Team"/>
  </r>
  <r>
    <s v="HST0058"/>
    <s v="Victory Hostel"/>
    <x v="3"/>
    <n v="6.2"/>
    <s v="3-in-a-room"/>
    <s v="Mixed"/>
    <n v="5250"/>
    <n v="27"/>
    <n v="81"/>
    <n v="81"/>
    <n v="100"/>
    <s v="No"/>
    <s v="Yes"/>
    <s v="No"/>
    <s v="Yes"/>
    <s v="No"/>
    <x v="2"/>
    <d v="2026-05-26T00:00:00"/>
    <n v="2.9"/>
    <n v="10"/>
    <s v="Hostel Verification Team"/>
  </r>
  <r>
    <s v="HST0059"/>
    <s v="Prime Scholars Hostel"/>
    <x v="1"/>
    <n v="3.5"/>
    <s v="3-in-a-room"/>
    <s v="Mixed"/>
    <n v="3250"/>
    <n v="23"/>
    <n v="69"/>
    <n v="60"/>
    <n v="87"/>
    <s v="Yes"/>
    <s v="No"/>
    <s v="Yes"/>
    <s v="Yes"/>
    <s v="No"/>
    <x v="0"/>
    <d v="2026-02-06T00:00:00"/>
    <n v="3.4"/>
    <n v="12"/>
    <s v="Hostel Verification Team"/>
  </r>
  <r>
    <s v="HST0060"/>
    <s v="Ocean Breeze Hostel"/>
    <x v="6"/>
    <n v="7.2"/>
    <s v="2-in-a-room"/>
    <s v="Female"/>
    <n v="7500"/>
    <n v="45"/>
    <n v="90"/>
    <n v="52"/>
    <n v="57.8"/>
    <s v="No"/>
    <s v="Yes"/>
    <s v="No"/>
    <s v="No"/>
    <s v="Yes"/>
    <x v="2"/>
    <d v="2025-04-22T00:00:00"/>
    <n v="4.5"/>
    <n v="4"/>
    <s v="Hostel Verification Team"/>
  </r>
  <r>
    <s v="HST0061"/>
    <s v="Ocean Breeze Hostel"/>
    <x v="2"/>
    <n v="3.6"/>
    <s v="3-in-a-room"/>
    <s v="Female"/>
    <n v="3750"/>
    <n v="33"/>
    <n v="99"/>
    <n v="44"/>
    <n v="44.4"/>
    <s v="No"/>
    <s v="Yes"/>
    <s v="No"/>
    <s v="No"/>
    <s v="Yes"/>
    <x v="2"/>
    <d v="2025-12-12T00:00:00"/>
    <n v="4.0999999999999996"/>
    <n v="2"/>
    <s v="Hostel Verification Team"/>
  </r>
  <r>
    <s v="HST0062"/>
    <s v="Golden Gate Hostel"/>
    <x v="2"/>
    <n v="3.4"/>
    <s v="Single"/>
    <s v="Female"/>
    <n v="11500"/>
    <n v="14"/>
    <n v="14"/>
    <n v="11"/>
    <n v="78.599999999999994"/>
    <s v="Yes"/>
    <s v="Yes"/>
    <s v="Yes"/>
    <s v="Yes"/>
    <s v="Yes"/>
    <x v="1"/>
    <d v="2025-06-29T00:00:00"/>
    <n v="4.8"/>
    <n v="9"/>
    <s v="Hostel Verification Team"/>
  </r>
  <r>
    <s v="HST0063"/>
    <s v="Starlight Hostel"/>
    <x v="1"/>
    <n v="1.3"/>
    <s v="4-in-a-room"/>
    <s v="Female"/>
    <n v="4050"/>
    <n v="19"/>
    <n v="76"/>
    <n v="36"/>
    <n v="47.4"/>
    <s v="Yes"/>
    <s v="No"/>
    <s v="No"/>
    <s v="Yes"/>
    <s v="No"/>
    <x v="2"/>
    <d v="2025-07-08T00:00:00"/>
    <n v="4.4000000000000004"/>
    <n v="18"/>
    <s v="Hostel Verification Team"/>
  </r>
  <r>
    <s v="HST0064"/>
    <s v="Eagle's Nest Hostel"/>
    <x v="3"/>
    <n v="5.0999999999999996"/>
    <s v="4-in-a-room"/>
    <s v="Female"/>
    <n v="2800"/>
    <n v="42"/>
    <n v="168"/>
    <n v="78"/>
    <n v="46.4"/>
    <s v="Yes"/>
    <s v="No"/>
    <s v="No"/>
    <s v="No"/>
    <s v="Yes"/>
    <x v="2"/>
    <d v="2025-03-26T00:00:00"/>
    <n v="4.5"/>
    <n v="8"/>
    <s v="Hostel Verification Team"/>
  </r>
  <r>
    <s v="HST0065"/>
    <s v="Scholar's Lodge"/>
    <x v="5"/>
    <n v="7.5"/>
    <s v="4-in-a-room"/>
    <s v="Mixed"/>
    <n v="2050"/>
    <n v="23"/>
    <n v="92"/>
    <n v="56"/>
    <n v="60.9"/>
    <s v="No"/>
    <s v="Yes"/>
    <s v="Yes"/>
    <s v="Yes"/>
    <s v="Yes"/>
    <x v="0"/>
    <d v="2026-01-12T00:00:00"/>
    <n v="3.2"/>
    <n v="0"/>
    <s v="Hostel Verification Team"/>
  </r>
  <r>
    <s v="HST0066"/>
    <s v="Green Valley Hostel"/>
    <x v="6"/>
    <n v="6.3"/>
    <s v="3-in-a-room"/>
    <s v="Mixed"/>
    <n v="5500"/>
    <n v="22"/>
    <n v="66"/>
    <n v="61"/>
    <n v="92.4"/>
    <s v="Yes"/>
    <s v="Yes"/>
    <s v="No"/>
    <s v="Yes"/>
    <s v="Yes"/>
    <x v="0"/>
    <d v="2026-01-05T00:00:00"/>
    <n v="3.7"/>
    <n v="3"/>
    <s v="Hostel Verification Team"/>
  </r>
  <r>
    <s v="HST0067"/>
    <s v="Green Valley Hostel"/>
    <x v="3"/>
    <n v="6"/>
    <s v="Single"/>
    <s v="Female"/>
    <n v="10000"/>
    <n v="31"/>
    <n v="31"/>
    <n v="14"/>
    <n v="45.2"/>
    <s v="No"/>
    <s v="Yes"/>
    <s v="No"/>
    <s v="Yes"/>
    <s v="Yes"/>
    <x v="0"/>
    <d v="2025-04-12T00:00:00"/>
    <n v="4.5"/>
    <n v="6"/>
    <s v="Hostel Verification Team"/>
  </r>
  <r>
    <s v="HST0068"/>
    <s v="Victory Hostel"/>
    <x v="3"/>
    <n v="6.3"/>
    <s v="3-in-a-room"/>
    <s v="Mixed"/>
    <n v="4250"/>
    <n v="26"/>
    <n v="78"/>
    <n v="74"/>
    <n v="94.9"/>
    <s v="Yes"/>
    <s v="Yes"/>
    <s v="Yes"/>
    <s v="Yes"/>
    <s v="No"/>
    <x v="0"/>
    <d v="2025-12-22T00:00:00"/>
    <n v="4.5"/>
    <n v="12"/>
    <s v="Hostel Verification Team"/>
  </r>
  <r>
    <s v="HST0069"/>
    <s v="Starlight Hostel"/>
    <x v="2"/>
    <n v="6"/>
    <s v="Single"/>
    <s v="Mixed"/>
    <n v="7500"/>
    <n v="42"/>
    <n v="42"/>
    <n v="17"/>
    <n v="40.5"/>
    <s v="No"/>
    <s v="Yes"/>
    <s v="No"/>
    <s v="Yes"/>
    <s v="Yes"/>
    <x v="0"/>
    <d v="2026-04-20T00:00:00"/>
    <n v="3.7"/>
    <n v="3"/>
    <s v="Hostel Verification Team"/>
  </r>
  <r>
    <s v="HST0070"/>
    <s v="Prime Scholars Hostel"/>
    <x v="7"/>
    <n v="6.9"/>
    <s v="2-in-a-room"/>
    <s v="Female"/>
    <n v="4000"/>
    <n v="37"/>
    <n v="74"/>
    <n v="69"/>
    <n v="93.2"/>
    <s v="Yes"/>
    <s v="Yes"/>
    <s v="Yes"/>
    <s v="No"/>
    <s v="Yes"/>
    <x v="0"/>
    <d v="2025-11-15T00:00:00"/>
    <n v="3.4"/>
    <n v="9"/>
    <s v="Hostel Verification Team"/>
  </r>
  <r>
    <s v="HST0071"/>
    <s v="Sunrise Hostel"/>
    <x v="2"/>
    <n v="1.9"/>
    <s v="2-in-a-room"/>
    <s v="Mixed"/>
    <n v="6500"/>
    <n v="37"/>
    <n v="74"/>
    <n v="48"/>
    <n v="64.900000000000006"/>
    <s v="Yes"/>
    <s v="No"/>
    <s v="Yes"/>
    <s v="No"/>
    <s v="Yes"/>
    <x v="0"/>
    <d v="2026-07-17T00:00:00"/>
    <n v="4.4000000000000004"/>
    <n v="13"/>
    <s v="Hostel Verification Team"/>
  </r>
  <r>
    <s v="HST0072"/>
    <s v="Starlight Hostel"/>
    <x v="5"/>
    <n v="3.4"/>
    <s v="2-in-a-room"/>
    <s v="Female"/>
    <n v="6250"/>
    <n v="14"/>
    <n v="28"/>
    <n v="20"/>
    <n v="71.400000000000006"/>
    <s v="Yes"/>
    <s v="Yes"/>
    <s v="Yes"/>
    <s v="Yes"/>
    <s v="Yes"/>
    <x v="1"/>
    <d v="2026-07-21T00:00:00"/>
    <n v="3.8"/>
    <n v="3"/>
    <s v="Hostel Verification Team"/>
  </r>
  <r>
    <s v="HST0073"/>
    <s v="Royal Palm Hostel"/>
    <x v="5"/>
    <n v="4.9000000000000004"/>
    <s v="Single"/>
    <s v="Mixed"/>
    <n v="5750"/>
    <n v="29"/>
    <n v="29"/>
    <n v="17"/>
    <n v="58.6"/>
    <s v="Yes"/>
    <s v="Yes"/>
    <s v="No"/>
    <s v="Yes"/>
    <s v="Yes"/>
    <x v="0"/>
    <d v="2025-05-18T00:00:00"/>
    <n v="3.9"/>
    <n v="7"/>
    <s v="Hostel Verification Team"/>
  </r>
  <r>
    <s v="HST0074"/>
    <s v="Campus View Hostel"/>
    <x v="3"/>
    <n v="6.5"/>
    <s v="2-in-a-room"/>
    <s v="Mixed"/>
    <n v="4500"/>
    <n v="42"/>
    <n v="84"/>
    <n v="45"/>
    <n v="53.6"/>
    <s v="Yes"/>
    <s v="Yes"/>
    <s v="Yes"/>
    <s v="Yes"/>
    <s v="Yes"/>
    <x v="1"/>
    <d v="2025-07-07T00:00:00"/>
    <n v="4.3"/>
    <n v="7"/>
    <s v="Hostel Verification Team"/>
  </r>
  <r>
    <s v="HST0075"/>
    <s v="New Era Hostel"/>
    <x v="0"/>
    <n v="1.5"/>
    <s v="Single"/>
    <s v="Male"/>
    <n v="6500"/>
    <n v="34"/>
    <n v="34"/>
    <n v="27"/>
    <n v="79.400000000000006"/>
    <s v="Yes"/>
    <s v="Yes"/>
    <s v="Yes"/>
    <s v="Yes"/>
    <s v="No"/>
    <x v="0"/>
    <d v="2025-05-06T00:00:00"/>
    <n v="2.7"/>
    <n v="14"/>
    <s v="Hostel Verification Team"/>
  </r>
  <r>
    <s v="HST0076"/>
    <s v="Victory Hostel"/>
    <x v="3"/>
    <n v="3.5"/>
    <s v="Single"/>
    <s v="Female"/>
    <n v="5750"/>
    <n v="38"/>
    <n v="38"/>
    <n v="25"/>
    <n v="65.8"/>
    <s v="No"/>
    <s v="Yes"/>
    <s v="No"/>
    <s v="Yes"/>
    <s v="No"/>
    <x v="2"/>
    <d v="2026-03-22T00:00:00"/>
    <n v="4"/>
    <n v="2"/>
    <s v="Hostel Verification Team"/>
  </r>
  <r>
    <s v="HST0077"/>
    <s v="Hilltop Hostel"/>
    <x v="4"/>
    <n v="0.7"/>
    <s v="3-in-a-room"/>
    <s v="Mixed"/>
    <n v="4750"/>
    <n v="45"/>
    <n v="135"/>
    <n v="117"/>
    <n v="86.7"/>
    <s v="No"/>
    <s v="Yes"/>
    <s v="Yes"/>
    <s v="No"/>
    <s v="Yes"/>
    <x v="0"/>
    <d v="2025-12-08T00:00:00"/>
    <n v="4.5"/>
    <n v="3"/>
    <s v="Hostel Verification Team"/>
  </r>
  <r>
    <s v="HST0078"/>
    <s v="Peace Haven Hostel"/>
    <x v="1"/>
    <n v="3.5"/>
    <s v="2-in-a-room"/>
    <s v="Female"/>
    <n v="6750"/>
    <n v="29"/>
    <n v="58"/>
    <n v="49"/>
    <n v="84.5"/>
    <s v="No"/>
    <s v="Yes"/>
    <s v="Yes"/>
    <s v="No"/>
    <s v="Yes"/>
    <x v="0"/>
    <d v="2026-02-22T00:00:00"/>
    <n v="3.4"/>
    <n v="8"/>
    <s v="Hostel Verification Team"/>
  </r>
  <r>
    <s v="HST0079"/>
    <s v="Ocean Breeze Hostel"/>
    <x v="6"/>
    <n v="0.7"/>
    <s v="Single"/>
    <s v="Female"/>
    <n v="6000"/>
    <n v="35"/>
    <n v="35"/>
    <n v="15"/>
    <n v="42.9"/>
    <s v="Yes"/>
    <s v="Yes"/>
    <s v="No"/>
    <s v="Yes"/>
    <s v="Yes"/>
    <x v="0"/>
    <d v="2026-01-26T00:00:00"/>
    <n v="3.5"/>
    <n v="13"/>
    <s v="Hostel Verification Team"/>
  </r>
  <r>
    <s v="HST0080"/>
    <s v="Green Valley Hostel"/>
    <x v="3"/>
    <n v="4.5999999999999996"/>
    <s v="3-in-a-room"/>
    <s v="Female"/>
    <n v="2750"/>
    <n v="44"/>
    <n v="132"/>
    <n v="110"/>
    <n v="83.3"/>
    <s v="Yes"/>
    <s v="Yes"/>
    <s v="Yes"/>
    <s v="Yes"/>
    <s v="No"/>
    <x v="0"/>
    <d v="2025-08-15T00:00:00"/>
    <n v="4.5999999999999996"/>
    <n v="17"/>
    <s v="Hostel Verification Team"/>
  </r>
  <r>
    <s v="HST0081"/>
    <s v="Sunrise Hostel"/>
    <x v="3"/>
    <n v="4.4000000000000004"/>
    <s v="4-in-a-room"/>
    <s v="Mixed"/>
    <n v="3800"/>
    <n v="43"/>
    <n v="172"/>
    <n v="63"/>
    <n v="36.6"/>
    <s v="Yes"/>
    <s v="Yes"/>
    <s v="Yes"/>
    <s v="Yes"/>
    <s v="Yes"/>
    <x v="1"/>
    <d v="2025-10-10T00:00:00"/>
    <n v="5"/>
    <n v="11"/>
    <s v="Hostel Verification Team"/>
  </r>
  <r>
    <s v="HST0082"/>
    <s v="Comfort Zone Hostel"/>
    <x v="2"/>
    <n v="1.2"/>
    <s v="Single"/>
    <s v="Mixed"/>
    <n v="6000"/>
    <n v="41"/>
    <n v="41"/>
    <n v="20"/>
    <n v="48.8"/>
    <s v="Yes"/>
    <s v="Yes"/>
    <s v="Yes"/>
    <s v="No"/>
    <s v="No"/>
    <x v="0"/>
    <d v="2026-01-30T00:00:00"/>
    <n v="4"/>
    <n v="9"/>
    <s v="Hostel Verification Team"/>
  </r>
  <r>
    <s v="HST0083"/>
    <s v="New Era Hostel"/>
    <x v="2"/>
    <n v="6.6"/>
    <s v="2-in-a-room"/>
    <s v="Female"/>
    <n v="4750"/>
    <n v="11"/>
    <n v="22"/>
    <n v="9"/>
    <n v="40.9"/>
    <s v="No"/>
    <s v="No"/>
    <s v="Yes"/>
    <s v="No"/>
    <s v="No"/>
    <x v="2"/>
    <d v="2025-10-15T00:00:00"/>
    <n v="4.0999999999999996"/>
    <n v="8"/>
    <s v="Hostel Verification Team"/>
  </r>
  <r>
    <s v="HST0084"/>
    <s v="Kings Court Hostel"/>
    <x v="2"/>
    <n v="2.2999999999999998"/>
    <s v="4-in-a-room"/>
    <s v="Male"/>
    <n v="3800"/>
    <n v="27"/>
    <n v="108"/>
    <n v="42"/>
    <n v="38.9"/>
    <s v="Yes"/>
    <s v="Yes"/>
    <s v="Yes"/>
    <s v="No"/>
    <s v="Yes"/>
    <x v="0"/>
    <d v="2025-08-23T00:00:00"/>
    <n v="4.5999999999999996"/>
    <n v="6"/>
    <s v="Hostel Verification Team"/>
  </r>
  <r>
    <s v="HST0085"/>
    <s v="Blue Sky Hostel"/>
    <x v="3"/>
    <n v="2.6"/>
    <s v="Single"/>
    <s v="Male"/>
    <n v="9250"/>
    <n v="35"/>
    <n v="35"/>
    <n v="17"/>
    <n v="48.6"/>
    <s v="Yes"/>
    <s v="Yes"/>
    <s v="No"/>
    <s v="No"/>
    <s v="Yes"/>
    <x v="0"/>
    <d v="2025-05-22T00:00:00"/>
    <n v="4.0999999999999996"/>
    <n v="12"/>
    <s v="Hostel Verification Team"/>
  </r>
  <r>
    <s v="HST0086"/>
    <s v="Eagle's Nest Hostel"/>
    <x v="2"/>
    <n v="6.5"/>
    <s v="4-in-a-room"/>
    <s v="Mixed"/>
    <n v="4050"/>
    <n v="33"/>
    <n v="132"/>
    <n v="127"/>
    <n v="96.2"/>
    <s v="Yes"/>
    <s v="Yes"/>
    <s v="Yes"/>
    <s v="Yes"/>
    <s v="Yes"/>
    <x v="1"/>
    <d v="2026-03-13T00:00:00"/>
    <n v="3.9"/>
    <n v="5"/>
    <s v="Hostel Verification Team"/>
  </r>
  <r>
    <s v="HST0087"/>
    <s v="Eagle's Nest Hostel"/>
    <x v="7"/>
    <n v="0.8"/>
    <s v="Single"/>
    <s v="Mixed"/>
    <n v="7250"/>
    <n v="35"/>
    <n v="35"/>
    <n v="30"/>
    <n v="85.7"/>
    <s v="Yes"/>
    <s v="Yes"/>
    <s v="Yes"/>
    <s v="Yes"/>
    <s v="No"/>
    <x v="0"/>
    <d v="2026-02-24T00:00:00"/>
    <n v="4"/>
    <n v="10"/>
    <s v="Hostel Verification Team"/>
  </r>
  <r>
    <s v="HST0088"/>
    <s v="Sunrise Hostel"/>
    <x v="5"/>
    <n v="6.8"/>
    <s v="3-in-a-room"/>
    <s v="Male"/>
    <n v="3750"/>
    <n v="17"/>
    <n v="51"/>
    <n v="32"/>
    <n v="62.7"/>
    <s v="Yes"/>
    <s v="Yes"/>
    <s v="Yes"/>
    <s v="Yes"/>
    <s v="Yes"/>
    <x v="1"/>
    <d v="2025-04-25T00:00:00"/>
    <n v="3.8"/>
    <n v="2"/>
    <s v="Hostel Verification Team"/>
  </r>
  <r>
    <s v="HST0089"/>
    <s v="Maple Court Hostel"/>
    <x v="6"/>
    <n v="5.7"/>
    <s v="4-in-a-room"/>
    <s v="Mixed"/>
    <n v="4300"/>
    <n v="44"/>
    <n v="176"/>
    <n v="143"/>
    <n v="81.2"/>
    <s v="Yes"/>
    <s v="No"/>
    <s v="Yes"/>
    <s v="Yes"/>
    <s v="Yes"/>
    <x v="0"/>
    <d v="2025-12-06T00:00:00"/>
    <n v="3.3"/>
    <n v="14"/>
    <s v="Hostel Verification Team"/>
  </r>
  <r>
    <s v="HST0090"/>
    <s v="Green Valley Hostel"/>
    <x v="7"/>
    <n v="3.9"/>
    <s v="3-in-a-room"/>
    <s v="Mixed"/>
    <n v="4250"/>
    <n v="36"/>
    <n v="108"/>
    <n v="41"/>
    <n v="38"/>
    <s v="Yes"/>
    <s v="No"/>
    <s v="Yes"/>
    <s v="Yes"/>
    <s v="Yes"/>
    <x v="0"/>
    <d v="2025-03-09T00:00:00"/>
    <n v="3.3"/>
    <n v="14"/>
    <s v="Hostel Verification Team"/>
  </r>
  <r>
    <s v="HST0091"/>
    <s v="Prime Scholars Hostel"/>
    <x v="0"/>
    <n v="3.5"/>
    <s v="2-in-a-room"/>
    <s v="Mixed"/>
    <n v="6000"/>
    <n v="38"/>
    <n v="76"/>
    <n v="58"/>
    <n v="76.3"/>
    <s v="Yes"/>
    <s v="Yes"/>
    <s v="Yes"/>
    <s v="Yes"/>
    <s v="No"/>
    <x v="0"/>
    <d v="2025-06-13T00:00:00"/>
    <n v="3.9"/>
    <n v="16"/>
    <s v="Hostel Verification Team"/>
  </r>
  <r>
    <s v="HST0092"/>
    <s v="Eagle's Nest Hostel"/>
    <x v="6"/>
    <n v="4"/>
    <s v="2-in-a-room"/>
    <s v="Female"/>
    <n v="6250"/>
    <n v="31"/>
    <n v="62"/>
    <n v="39"/>
    <n v="62.9"/>
    <s v="Yes"/>
    <s v="Yes"/>
    <s v="No"/>
    <s v="No"/>
    <s v="Yes"/>
    <x v="0"/>
    <d v="2026-02-10T00:00:00"/>
    <n v="3.9"/>
    <n v="2"/>
    <s v="Hostel Verification Team"/>
  </r>
  <r>
    <s v="HST0093"/>
    <s v="Sunrise Hostel"/>
    <x v="1"/>
    <n v="2.2999999999999998"/>
    <s v="2-in-a-room"/>
    <s v="Male"/>
    <n v="6000"/>
    <n v="13"/>
    <n v="26"/>
    <n v="13"/>
    <n v="50"/>
    <s v="Yes"/>
    <s v="Yes"/>
    <s v="Yes"/>
    <s v="Yes"/>
    <s v="No"/>
    <x v="0"/>
    <d v="2026-01-03T00:00:00"/>
    <n v="3.3"/>
    <n v="17"/>
    <s v="Hostel Verification Team"/>
  </r>
  <r>
    <s v="HST0094"/>
    <s v="Victory Hostel"/>
    <x v="2"/>
    <n v="4.9000000000000004"/>
    <s v="4-in-a-room"/>
    <s v="Male"/>
    <n v="3800"/>
    <n v="31"/>
    <n v="124"/>
    <n v="45"/>
    <n v="36.299999999999997"/>
    <s v="Yes"/>
    <s v="No"/>
    <s v="Yes"/>
    <s v="Yes"/>
    <s v="Yes"/>
    <x v="0"/>
    <d v="2026-01-16T00:00:00"/>
    <n v="4.7"/>
    <n v="6"/>
    <s v="Hostel Verification Team"/>
  </r>
  <r>
    <s v="HST0095"/>
    <s v="Ocean Breeze Hostel"/>
    <x v="4"/>
    <n v="0.8"/>
    <s v="Single"/>
    <s v="Mixed"/>
    <n v="9500"/>
    <n v="42"/>
    <n v="42"/>
    <n v="40"/>
    <n v="95.2"/>
    <s v="Yes"/>
    <s v="No"/>
    <s v="No"/>
    <s v="Yes"/>
    <s v="Yes"/>
    <x v="0"/>
    <d v="2026-07-03T00:00:00"/>
    <n v="4.5"/>
    <n v="4"/>
    <s v="Hostel Verification Team"/>
  </r>
  <r>
    <s v="HST0096"/>
    <s v="University Heights Hostel"/>
    <x v="6"/>
    <n v="0.5"/>
    <s v="3-in-a-room"/>
    <s v="Male"/>
    <n v="5000"/>
    <n v="23"/>
    <n v="69"/>
    <n v="52"/>
    <n v="75.400000000000006"/>
    <s v="Yes"/>
    <s v="Yes"/>
    <s v="No"/>
    <s v="No"/>
    <s v="Yes"/>
    <x v="0"/>
    <d v="2025-10-28T00:00:00"/>
    <n v="4.9000000000000004"/>
    <n v="15"/>
    <s v="Hostel Verification Team"/>
  </r>
  <r>
    <s v="HST0097"/>
    <s v="Starlight Hostel"/>
    <x v="6"/>
    <n v="3.6"/>
    <s v="3-in-a-room"/>
    <s v="Mixed"/>
    <n v="5500"/>
    <n v="32"/>
    <n v="96"/>
    <n v="86"/>
    <n v="89.6"/>
    <s v="Yes"/>
    <s v="No"/>
    <s v="Yes"/>
    <s v="Yes"/>
    <s v="Yes"/>
    <x v="0"/>
    <d v="2025-06-24T00:00:00"/>
    <n v="3.8"/>
    <n v="11"/>
    <s v="Hostel Verification Team"/>
  </r>
  <r>
    <s v="HST0098"/>
    <s v="Sunrise Hostel"/>
    <x v="3"/>
    <n v="0.8"/>
    <s v="2-in-a-room"/>
    <s v="Female"/>
    <n v="5500"/>
    <n v="36"/>
    <n v="72"/>
    <n v="57"/>
    <n v="79.2"/>
    <s v="No"/>
    <s v="Yes"/>
    <s v="Yes"/>
    <s v="No"/>
    <s v="Yes"/>
    <x v="0"/>
    <d v="2025-06-09T00:00:00"/>
    <n v="3.9"/>
    <n v="0"/>
    <s v="Hostel Verification Team"/>
  </r>
  <r>
    <s v="HST0099"/>
    <s v="Green Valley Hostel"/>
    <x v="1"/>
    <n v="3.9"/>
    <s v="2-in-a-room"/>
    <s v="Female"/>
    <n v="6500"/>
    <n v="13"/>
    <n v="26"/>
    <n v="20"/>
    <n v="76.900000000000006"/>
    <s v="Yes"/>
    <s v="Yes"/>
    <s v="Yes"/>
    <s v="Yes"/>
    <s v="Yes"/>
    <x v="1"/>
    <d v="2025-08-27T00:00:00"/>
    <n v="5"/>
    <n v="4"/>
    <s v="Hostel Verification Team"/>
  </r>
  <r>
    <s v="HST0100"/>
    <s v="Ocean Breeze Hostel"/>
    <x v="6"/>
    <n v="3.5"/>
    <s v="Single"/>
    <s v="Male"/>
    <n v="6000"/>
    <n v="9"/>
    <n v="9"/>
    <n v="5"/>
    <n v="55.6"/>
    <s v="Yes"/>
    <s v="Yes"/>
    <s v="Yes"/>
    <s v="Yes"/>
    <s v="No"/>
    <x v="0"/>
    <d v="2025-08-18T00:00:00"/>
    <n v="4.3"/>
    <n v="9"/>
    <s v="Hostel Verification Team"/>
  </r>
  <r>
    <s v="HST0101"/>
    <s v="Green Valley Hostel"/>
    <x v="5"/>
    <n v="3.3"/>
    <s v="4-in-a-room"/>
    <s v="Mixed"/>
    <n v="2050"/>
    <n v="15"/>
    <n v="60"/>
    <n v="52"/>
    <n v="86.7"/>
    <s v="Yes"/>
    <s v="Yes"/>
    <s v="No"/>
    <s v="Yes"/>
    <s v="Yes"/>
    <x v="0"/>
    <d v="2026-07-12T00:00:00"/>
    <n v="4.5"/>
    <n v="13"/>
    <s v="Hostel Verification Team"/>
  </r>
  <r>
    <s v="HST0102"/>
    <s v="Kings Court Hostel"/>
    <x v="4"/>
    <n v="5"/>
    <s v="Single"/>
    <s v="Female"/>
    <n v="9500"/>
    <n v="31"/>
    <n v="31"/>
    <n v="12"/>
    <n v="38.700000000000003"/>
    <s v="Yes"/>
    <s v="No"/>
    <s v="Yes"/>
    <s v="Yes"/>
    <s v="No"/>
    <x v="0"/>
    <d v="2026-07-02T00:00:00"/>
    <n v="4"/>
    <n v="11"/>
    <s v="Hostel Verification Team"/>
  </r>
  <r>
    <s v="HST0103"/>
    <s v="Campus View Hostel"/>
    <x v="7"/>
    <n v="6"/>
    <s v="3-in-a-room"/>
    <s v="Male"/>
    <n v="3250"/>
    <n v="14"/>
    <n v="42"/>
    <n v="38"/>
    <n v="90.5"/>
    <s v="Yes"/>
    <s v="Yes"/>
    <s v="Yes"/>
    <s v="Yes"/>
    <s v="Yes"/>
    <x v="1"/>
    <d v="2025-12-16T00:00:00"/>
    <n v="4.5999999999999996"/>
    <n v="14"/>
    <s v="Hostel Verification Team"/>
  </r>
  <r>
    <s v="HST0104"/>
    <s v="Ocean Breeze Hostel"/>
    <x v="2"/>
    <n v="5.4"/>
    <s v="4-in-a-room"/>
    <s v="Female"/>
    <n v="1800"/>
    <n v="26"/>
    <n v="104"/>
    <n v="61"/>
    <n v="58.7"/>
    <s v="Yes"/>
    <s v="No"/>
    <s v="Yes"/>
    <s v="Yes"/>
    <s v="Yes"/>
    <x v="0"/>
    <d v="2025-02-23T00:00:00"/>
    <n v="3.9"/>
    <n v="17"/>
    <s v="Hostel Verification Team"/>
  </r>
  <r>
    <s v="HST0105"/>
    <s v="Blue Sky Hostel"/>
    <x v="0"/>
    <n v="5.7"/>
    <s v="2-in-a-room"/>
    <s v="Male"/>
    <n v="5750"/>
    <n v="30"/>
    <n v="60"/>
    <n v="24"/>
    <n v="40"/>
    <s v="No"/>
    <s v="No"/>
    <s v="Yes"/>
    <s v="Yes"/>
    <s v="Yes"/>
    <x v="0"/>
    <d v="2025-12-15T00:00:00"/>
    <n v="4.4000000000000004"/>
    <n v="14"/>
    <s v="Hostel Verification Team"/>
  </r>
  <r>
    <s v="HST0106"/>
    <s v="Maple Court Hostel"/>
    <x v="6"/>
    <n v="2.9"/>
    <s v="3-in-a-room"/>
    <s v="Male"/>
    <n v="5500"/>
    <n v="13"/>
    <n v="39"/>
    <n v="36"/>
    <n v="92.3"/>
    <s v="Yes"/>
    <s v="Yes"/>
    <s v="No"/>
    <s v="Yes"/>
    <s v="No"/>
    <x v="0"/>
    <d v="2026-03-20T00:00:00"/>
    <n v="3.7"/>
    <n v="10"/>
    <s v="Hostel Verification Team"/>
  </r>
  <r>
    <s v="HST0107"/>
    <s v="Royal Palm Hostel"/>
    <x v="7"/>
    <n v="5"/>
    <s v="3-in-a-room"/>
    <s v="Male"/>
    <n v="4250"/>
    <n v="35"/>
    <n v="105"/>
    <n v="57"/>
    <n v="54.3"/>
    <s v="Yes"/>
    <s v="No"/>
    <s v="Yes"/>
    <s v="Yes"/>
    <s v="No"/>
    <x v="0"/>
    <d v="2026-04-09T00:00:00"/>
    <n v="3.4"/>
    <n v="8"/>
    <s v="Hostel Verification Team"/>
  </r>
  <r>
    <s v="HST0108"/>
    <s v="Royal Palm Hostel"/>
    <x v="1"/>
    <n v="2.9"/>
    <s v="2-in-a-room"/>
    <s v="Female"/>
    <n v="3500"/>
    <n v="17"/>
    <n v="34"/>
    <n v="30"/>
    <n v="88.2"/>
    <s v="Yes"/>
    <s v="Yes"/>
    <s v="Yes"/>
    <s v="Yes"/>
    <s v="Yes"/>
    <x v="1"/>
    <d v="2026-04-03T00:00:00"/>
    <n v="3.3"/>
    <n v="11"/>
    <s v="Hostel Verification Team"/>
  </r>
  <r>
    <s v="HST0109"/>
    <s v="Garden City Hostel"/>
    <x v="0"/>
    <n v="4.5999999999999996"/>
    <s v="4-in-a-room"/>
    <s v="Male"/>
    <n v="3050"/>
    <n v="31"/>
    <n v="124"/>
    <n v="99"/>
    <n v="79.8"/>
    <s v="Yes"/>
    <s v="Yes"/>
    <s v="Yes"/>
    <s v="Yes"/>
    <s v="Yes"/>
    <x v="1"/>
    <d v="2025-03-29T00:00:00"/>
    <n v="4.0999999999999996"/>
    <n v="7"/>
    <s v="Hostel Verification Team"/>
  </r>
  <r>
    <s v="HST0110"/>
    <s v="Maple Court Hostel"/>
    <x v="1"/>
    <n v="6.9"/>
    <s v="Single"/>
    <s v="Female"/>
    <n v="7500"/>
    <n v="24"/>
    <n v="24"/>
    <n v="22"/>
    <n v="91.7"/>
    <s v="Yes"/>
    <s v="Yes"/>
    <s v="Yes"/>
    <s v="Yes"/>
    <s v="No"/>
    <x v="0"/>
    <d v="2025-08-17T00:00:00"/>
    <n v="4"/>
    <n v="2"/>
    <s v="Hostel Verification Team"/>
  </r>
  <r>
    <s v="HST0111"/>
    <s v="University Heights Hostel"/>
    <x v="6"/>
    <n v="7.5"/>
    <s v="3-in-a-room"/>
    <s v="Male"/>
    <n v="5000"/>
    <n v="30"/>
    <n v="90"/>
    <n v="76"/>
    <n v="84.4"/>
    <s v="Yes"/>
    <s v="Yes"/>
    <s v="Yes"/>
    <s v="Yes"/>
    <s v="Yes"/>
    <x v="1"/>
    <d v="2025-03-17T00:00:00"/>
    <n v="4.3"/>
    <n v="16"/>
    <s v="Hostel Verification Team"/>
  </r>
  <r>
    <s v="HST0112"/>
    <s v="Golden Gate Hostel"/>
    <x v="6"/>
    <n v="0.4"/>
    <s v="3-in-a-room"/>
    <s v="Mixed"/>
    <n v="4250"/>
    <n v="43"/>
    <n v="129"/>
    <n v="61"/>
    <n v="47.3"/>
    <s v="No"/>
    <s v="No"/>
    <s v="Yes"/>
    <s v="Yes"/>
    <s v="Yes"/>
    <x v="0"/>
    <d v="2025-04-08T00:00:00"/>
    <n v="5"/>
    <n v="13"/>
    <s v="Hostel Verification Team"/>
  </r>
  <r>
    <s v="HST0113"/>
    <s v="Royal Palm Hostel"/>
    <x v="4"/>
    <n v="7.3"/>
    <s v="Single"/>
    <s v="Male"/>
    <n v="9000"/>
    <n v="37"/>
    <n v="37"/>
    <n v="33"/>
    <n v="89.2"/>
    <s v="Yes"/>
    <s v="Yes"/>
    <s v="No"/>
    <s v="Yes"/>
    <s v="Yes"/>
    <x v="0"/>
    <d v="2026-06-23T00:00:00"/>
    <n v="2.9"/>
    <n v="13"/>
    <s v="Hostel Verification Team"/>
  </r>
  <r>
    <s v="HST0114"/>
    <s v="Victory Hostel"/>
    <x v="4"/>
    <n v="2.4"/>
    <s v="2-in-a-room"/>
    <s v="Mixed"/>
    <n v="6000"/>
    <n v="22"/>
    <n v="44"/>
    <n v="26"/>
    <n v="59.1"/>
    <s v="Yes"/>
    <s v="Yes"/>
    <s v="Yes"/>
    <s v="Yes"/>
    <s v="Yes"/>
    <x v="1"/>
    <d v="2026-06-25T00:00:00"/>
    <n v="4"/>
    <n v="4"/>
    <s v="Hostel Verification Team"/>
  </r>
  <r>
    <s v="HST0115"/>
    <s v="Scholar's Lodge"/>
    <x v="2"/>
    <n v="3.9"/>
    <s v="2-in-a-room"/>
    <s v="Mixed"/>
    <n v="4500"/>
    <n v="18"/>
    <n v="36"/>
    <n v="33"/>
    <n v="91.7"/>
    <s v="Yes"/>
    <s v="Yes"/>
    <s v="Yes"/>
    <s v="Yes"/>
    <s v="Yes"/>
    <x v="1"/>
    <d v="2025-12-21T00:00:00"/>
    <n v="4.0999999999999996"/>
    <n v="6"/>
    <s v="Hostel Verification Team"/>
  </r>
  <r>
    <s v="HST0116"/>
    <s v="Campus View Hostel"/>
    <x v="6"/>
    <n v="6.7"/>
    <s v="3-in-a-room"/>
    <s v="Female"/>
    <n v="5000"/>
    <n v="27"/>
    <n v="81"/>
    <n v="58"/>
    <n v="71.599999999999994"/>
    <s v="Yes"/>
    <s v="Yes"/>
    <s v="Yes"/>
    <s v="No"/>
    <s v="Yes"/>
    <x v="0"/>
    <d v="2025-09-17T00:00:00"/>
    <n v="3.4"/>
    <n v="5"/>
    <s v="Hostel Verification Team"/>
  </r>
  <r>
    <s v="HST0117"/>
    <s v="Kings Court Hostel"/>
    <x v="6"/>
    <n v="3.6"/>
    <s v="3-in-a-room"/>
    <s v="Female"/>
    <n v="4750"/>
    <n v="17"/>
    <n v="51"/>
    <n v="37"/>
    <n v="72.5"/>
    <s v="Yes"/>
    <s v="Yes"/>
    <s v="Yes"/>
    <s v="Yes"/>
    <s v="No"/>
    <x v="0"/>
    <d v="2025-12-02T00:00:00"/>
    <n v="4"/>
    <n v="10"/>
    <s v="Hostel Verification Team"/>
  </r>
  <r>
    <s v="HST0118"/>
    <s v="Golden Gate Hostel"/>
    <x v="4"/>
    <n v="0.9"/>
    <s v="3-in-a-room"/>
    <s v="Female"/>
    <n v="4000"/>
    <n v="34"/>
    <n v="102"/>
    <n v="66"/>
    <n v="64.7"/>
    <s v="Yes"/>
    <s v="No"/>
    <s v="Yes"/>
    <s v="Yes"/>
    <s v="Yes"/>
    <x v="0"/>
    <d v="2025-06-22T00:00:00"/>
    <n v="4.3"/>
    <n v="16"/>
    <s v="Hostel Verification Team"/>
  </r>
  <r>
    <s v="HST0119"/>
    <s v="Maple Court Hostel"/>
    <x v="3"/>
    <n v="3.8"/>
    <s v="Single"/>
    <s v="Mixed"/>
    <n v="8500"/>
    <n v="40"/>
    <n v="40"/>
    <n v="28"/>
    <n v="70"/>
    <s v="Yes"/>
    <s v="Yes"/>
    <s v="Yes"/>
    <s v="Yes"/>
    <s v="Yes"/>
    <x v="1"/>
    <d v="2025-09-13T00:00:00"/>
    <n v="3.1"/>
    <n v="15"/>
    <s v="Hostel Verification Team"/>
  </r>
  <r>
    <s v="HST0120"/>
    <s v="Maple Court Hostel"/>
    <x v="3"/>
    <n v="4.0999999999999996"/>
    <s v="Single"/>
    <s v="Mixed"/>
    <n v="8750"/>
    <n v="16"/>
    <n v="16"/>
    <n v="9"/>
    <n v="56.2"/>
    <s v="No"/>
    <s v="Yes"/>
    <s v="Yes"/>
    <s v="No"/>
    <s v="Yes"/>
    <x v="0"/>
    <d v="2026-01-19T00:00:00"/>
    <n v="3.4"/>
    <n v="18"/>
    <s v="Hostel Verification Team"/>
  </r>
  <r>
    <s v="HST0121"/>
    <s v="Peace Haven Hostel"/>
    <x v="7"/>
    <n v="4.2"/>
    <s v="Single"/>
    <s v="Male"/>
    <n v="8500"/>
    <n v="40"/>
    <n v="40"/>
    <n v="28"/>
    <n v="70"/>
    <s v="No"/>
    <s v="Yes"/>
    <s v="Yes"/>
    <s v="Yes"/>
    <s v="Yes"/>
    <x v="0"/>
    <d v="2025-10-23T00:00:00"/>
    <n v="3.5"/>
    <n v="10"/>
    <s v="Hostel Verification Team"/>
  </r>
  <r>
    <s v="HST0122"/>
    <s v="Peace Haven Hostel"/>
    <x v="1"/>
    <n v="3.9"/>
    <s v="Single"/>
    <s v="Male"/>
    <n v="5750"/>
    <n v="16"/>
    <n v="16"/>
    <n v="16"/>
    <n v="100"/>
    <s v="Yes"/>
    <s v="Yes"/>
    <s v="Yes"/>
    <s v="No"/>
    <s v="No"/>
    <x v="0"/>
    <d v="2025-12-17T00:00:00"/>
    <n v="3.8"/>
    <n v="10"/>
    <s v="Hostel Verification Team"/>
  </r>
  <r>
    <s v="HST0123"/>
    <s v="Comfort Zone Hostel"/>
    <x v="3"/>
    <n v="4.5"/>
    <s v="4-in-a-room"/>
    <s v="Mixed"/>
    <n v="4550"/>
    <n v="44"/>
    <n v="176"/>
    <n v="99"/>
    <n v="56.2"/>
    <s v="Yes"/>
    <s v="No"/>
    <s v="Yes"/>
    <s v="Yes"/>
    <s v="Yes"/>
    <x v="0"/>
    <d v="2026-05-11T00:00:00"/>
    <n v="3.6"/>
    <n v="18"/>
    <s v="Hostel Verification Team"/>
  </r>
  <r>
    <s v="HST0124"/>
    <s v="Campus View Hostel"/>
    <x v="6"/>
    <n v="2.1"/>
    <s v="2-in-a-room"/>
    <s v="Mixed"/>
    <n v="3750"/>
    <n v="45"/>
    <n v="90"/>
    <n v="61"/>
    <n v="67.8"/>
    <s v="Yes"/>
    <s v="Yes"/>
    <s v="No"/>
    <s v="No"/>
    <s v="Yes"/>
    <x v="0"/>
    <d v="2025-07-03T00:00:00"/>
    <n v="5"/>
    <n v="18"/>
    <s v="Hostel Verification Team"/>
  </r>
  <r>
    <s v="HST0125"/>
    <s v="Sunrise Hostel"/>
    <x v="5"/>
    <n v="0.3"/>
    <s v="3-in-a-room"/>
    <s v="Mixed"/>
    <n v="4000"/>
    <n v="17"/>
    <n v="51"/>
    <n v="43"/>
    <n v="84.3"/>
    <s v="Yes"/>
    <s v="Yes"/>
    <s v="No"/>
    <s v="No"/>
    <s v="No"/>
    <x v="2"/>
    <d v="2025-08-06T00:00:00"/>
    <n v="4.0999999999999996"/>
    <n v="16"/>
    <s v="Hostel Verification Team"/>
  </r>
  <r>
    <s v="HST0126"/>
    <s v="Maple Court Hostel"/>
    <x v="1"/>
    <n v="2.5"/>
    <s v="2-in-a-room"/>
    <s v="Female"/>
    <n v="7000"/>
    <n v="42"/>
    <n v="84"/>
    <n v="50"/>
    <n v="59.5"/>
    <s v="No"/>
    <s v="Yes"/>
    <s v="No"/>
    <s v="Yes"/>
    <s v="Yes"/>
    <x v="0"/>
    <d v="2026-07-23T00:00:00"/>
    <n v="4.5"/>
    <n v="7"/>
    <s v="Hostel Verification Team"/>
  </r>
  <r>
    <s v="HST0127"/>
    <s v="Prime Scholars Hostel"/>
    <x v="3"/>
    <n v="1.8"/>
    <s v="3-in-a-room"/>
    <s v="Female"/>
    <n v="5500"/>
    <n v="26"/>
    <n v="78"/>
    <n v="72"/>
    <n v="92.3"/>
    <s v="Yes"/>
    <s v="Yes"/>
    <s v="Yes"/>
    <s v="No"/>
    <s v="Yes"/>
    <x v="0"/>
    <d v="2025-08-10T00:00:00"/>
    <n v="4.5999999999999996"/>
    <n v="9"/>
    <s v="Hostel Verification Team"/>
  </r>
  <r>
    <s v="HST0128"/>
    <s v="Comfort Zone Hostel"/>
    <x v="7"/>
    <n v="7.2"/>
    <s v="2-in-a-room"/>
    <s v="Male"/>
    <n v="5750"/>
    <n v="10"/>
    <n v="20"/>
    <n v="11"/>
    <n v="55"/>
    <s v="Yes"/>
    <s v="No"/>
    <s v="No"/>
    <s v="Yes"/>
    <s v="No"/>
    <x v="2"/>
    <d v="2025-03-31T00:00:00"/>
    <n v="4.5999999999999996"/>
    <n v="6"/>
    <s v="Hostel Verification Team"/>
  </r>
  <r>
    <s v="HST0129"/>
    <s v="Prime Scholars Hostel"/>
    <x v="3"/>
    <n v="7"/>
    <s v="3-in-a-room"/>
    <s v="Female"/>
    <n v="3000"/>
    <n v="14"/>
    <n v="42"/>
    <n v="33"/>
    <n v="78.599999999999994"/>
    <s v="Yes"/>
    <s v="Yes"/>
    <s v="No"/>
    <s v="Yes"/>
    <s v="Yes"/>
    <x v="0"/>
    <d v="2025-09-12T00:00:00"/>
    <n v="4.4000000000000004"/>
    <n v="1"/>
    <s v="Hostel Verification Team"/>
  </r>
  <r>
    <s v="HST0130"/>
    <s v="Sunrise Hostel"/>
    <x v="4"/>
    <n v="0.2"/>
    <s v="2-in-a-room"/>
    <s v="Male"/>
    <n v="6750"/>
    <n v="38"/>
    <n v="76"/>
    <n v="56"/>
    <n v="73.7"/>
    <s v="Yes"/>
    <s v="Yes"/>
    <s v="Yes"/>
    <s v="Yes"/>
    <s v="Yes"/>
    <x v="1"/>
    <d v="2025-08-02T00:00:00"/>
    <n v="4.3"/>
    <n v="18"/>
    <s v="Hostel Verification Team"/>
  </r>
  <r>
    <s v="HST0131"/>
    <s v="Prime Scholars Hostel"/>
    <x v="0"/>
    <n v="6.9"/>
    <s v="2-in-a-room"/>
    <s v="Female"/>
    <n v="6750"/>
    <n v="19"/>
    <n v="38"/>
    <n v="14"/>
    <n v="36.799999999999997"/>
    <s v="Yes"/>
    <s v="Yes"/>
    <s v="No"/>
    <s v="No"/>
    <s v="Yes"/>
    <x v="0"/>
    <d v="2026-02-20T00:00:00"/>
    <n v="3.8"/>
    <n v="0"/>
    <s v="Hostel Verification Team"/>
  </r>
  <r>
    <s v="HST0132"/>
    <s v="Scholar's Lodge"/>
    <x v="6"/>
    <n v="7.4"/>
    <s v="4-in-a-room"/>
    <s v="Mixed"/>
    <n v="2300"/>
    <n v="40"/>
    <n v="160"/>
    <n v="115"/>
    <n v="71.900000000000006"/>
    <s v="Yes"/>
    <s v="No"/>
    <s v="Yes"/>
    <s v="Yes"/>
    <s v="Yes"/>
    <x v="0"/>
    <d v="2025-10-16T00:00:00"/>
    <n v="4.7"/>
    <n v="8"/>
    <s v="Hostel Verification Team"/>
  </r>
  <r>
    <s v="HST0133"/>
    <s v="University Heights Hostel"/>
    <x v="0"/>
    <n v="5.6"/>
    <s v="3-in-a-room"/>
    <s v="Male"/>
    <n v="4750"/>
    <n v="20"/>
    <n v="60"/>
    <n v="32"/>
    <n v="53.3"/>
    <s v="No"/>
    <s v="Yes"/>
    <s v="Yes"/>
    <s v="No"/>
    <s v="Yes"/>
    <x v="0"/>
    <d v="2026-03-01T00:00:00"/>
    <n v="4.5999999999999996"/>
    <n v="5"/>
    <s v="Hostel Verification Team"/>
  </r>
  <r>
    <s v="HST0134"/>
    <s v="Campus View Hostel"/>
    <x v="3"/>
    <n v="3"/>
    <s v="4-in-a-room"/>
    <s v="Female"/>
    <n v="2800"/>
    <n v="29"/>
    <n v="116"/>
    <n v="78"/>
    <n v="67.2"/>
    <s v="Yes"/>
    <s v="Yes"/>
    <s v="No"/>
    <s v="Yes"/>
    <s v="Yes"/>
    <x v="0"/>
    <d v="2025-01-21T00:00:00"/>
    <n v="3.9"/>
    <n v="3"/>
    <s v="Hostel Verification Team"/>
  </r>
  <r>
    <s v="HST0135"/>
    <s v="Scholar's Lodge"/>
    <x v="4"/>
    <n v="3.2"/>
    <s v="3-in-a-room"/>
    <s v="Female"/>
    <n v="5250"/>
    <n v="15"/>
    <n v="45"/>
    <n v="35"/>
    <n v="77.8"/>
    <s v="Yes"/>
    <s v="No"/>
    <s v="Yes"/>
    <s v="Yes"/>
    <s v="Yes"/>
    <x v="0"/>
    <d v="2025-11-08T00:00:00"/>
    <n v="2.4"/>
    <n v="4"/>
    <s v="Hostel Verification Team"/>
  </r>
  <r>
    <s v="HST0136"/>
    <s v="Kings Court Hostel"/>
    <x v="6"/>
    <n v="5.7"/>
    <s v="2-in-a-room"/>
    <s v="Mixed"/>
    <n v="5250"/>
    <n v="13"/>
    <n v="26"/>
    <n v="25"/>
    <n v="96.2"/>
    <s v="Yes"/>
    <s v="Yes"/>
    <s v="No"/>
    <s v="Yes"/>
    <s v="Yes"/>
    <x v="0"/>
    <d v="2026-04-12T00:00:00"/>
    <n v="4.5"/>
    <n v="17"/>
    <s v="Hostel Verification Team"/>
  </r>
  <r>
    <s v="HST0137"/>
    <s v="Peace Haven Hostel"/>
    <x v="4"/>
    <n v="1.4"/>
    <s v="4-in-a-room"/>
    <s v="Mixed"/>
    <n v="2050"/>
    <n v="21"/>
    <n v="84"/>
    <n v="74"/>
    <n v="88.1"/>
    <s v="No"/>
    <s v="Yes"/>
    <s v="Yes"/>
    <s v="Yes"/>
    <s v="No"/>
    <x v="0"/>
    <d v="2026-05-25T00:00:00"/>
    <n v="3.4"/>
    <n v="16"/>
    <s v="Hostel Verification Team"/>
  </r>
  <r>
    <s v="HST0138"/>
    <s v="Eagle's Nest Hostel"/>
    <x v="3"/>
    <n v="5.5"/>
    <s v="4-in-a-room"/>
    <s v="Female"/>
    <n v="2800"/>
    <n v="8"/>
    <n v="32"/>
    <n v="17"/>
    <n v="53.1"/>
    <s v="Yes"/>
    <s v="Yes"/>
    <s v="Yes"/>
    <s v="Yes"/>
    <s v="No"/>
    <x v="0"/>
    <d v="2025-03-25T00:00:00"/>
    <n v="4.4000000000000004"/>
    <n v="2"/>
    <s v="Hostel Verification Team"/>
  </r>
  <r>
    <s v="HST0139"/>
    <s v="Green Valley Hostel"/>
    <x v="3"/>
    <n v="3.2"/>
    <s v="2-in-a-room"/>
    <s v="Mixed"/>
    <n v="6750"/>
    <n v="31"/>
    <n v="62"/>
    <n v="45"/>
    <n v="72.599999999999994"/>
    <s v="Yes"/>
    <s v="Yes"/>
    <s v="Yes"/>
    <s v="No"/>
    <s v="No"/>
    <x v="0"/>
    <d v="2026-04-14T00:00:00"/>
    <n v="4.3"/>
    <n v="3"/>
    <s v="Hostel Verification Team"/>
  </r>
  <r>
    <s v="HST0140"/>
    <s v="Ocean Breeze Hostel"/>
    <x v="5"/>
    <n v="6.3"/>
    <s v="Single"/>
    <s v="Male"/>
    <n v="7750"/>
    <n v="37"/>
    <n v="37"/>
    <n v="33"/>
    <n v="89.2"/>
    <s v="Yes"/>
    <s v="No"/>
    <s v="Yes"/>
    <s v="No"/>
    <s v="No"/>
    <x v="2"/>
    <d v="2026-07-21T00:00:00"/>
    <n v="4.5999999999999996"/>
    <n v="11"/>
    <s v="Hostel Verification Team"/>
  </r>
  <r>
    <s v="HST0141"/>
    <s v="Blue Sky Hostel"/>
    <x v="5"/>
    <n v="7"/>
    <s v="Single"/>
    <s v="Male"/>
    <n v="5750"/>
    <n v="34"/>
    <n v="34"/>
    <n v="30"/>
    <n v="88.2"/>
    <s v="Yes"/>
    <s v="Yes"/>
    <s v="Yes"/>
    <s v="Yes"/>
    <s v="Yes"/>
    <x v="1"/>
    <d v="2025-01-26T00:00:00"/>
    <n v="3.3"/>
    <n v="14"/>
    <s v="Hostel Verification Team"/>
  </r>
  <r>
    <s v="HST0142"/>
    <s v="Golden Gate Hostel"/>
    <x v="0"/>
    <n v="3.1"/>
    <s v="2-in-a-room"/>
    <s v="Female"/>
    <n v="5000"/>
    <n v="11"/>
    <n v="22"/>
    <n v="11"/>
    <n v="50"/>
    <s v="Yes"/>
    <s v="Yes"/>
    <s v="No"/>
    <s v="Yes"/>
    <s v="Yes"/>
    <x v="0"/>
    <d v="2026-06-09T00:00:00"/>
    <n v="3.5"/>
    <n v="7"/>
    <s v="Hostel Verification Team"/>
  </r>
  <r>
    <s v="HST0143"/>
    <s v="Ocean Breeze Hostel"/>
    <x v="5"/>
    <n v="3.2"/>
    <s v="3-in-a-room"/>
    <s v="Male"/>
    <n v="2500"/>
    <n v="43"/>
    <n v="129"/>
    <n v="120"/>
    <n v="93"/>
    <s v="Yes"/>
    <s v="No"/>
    <s v="Yes"/>
    <s v="No"/>
    <s v="No"/>
    <x v="2"/>
    <d v="2025-07-08T00:00:00"/>
    <n v="3.8"/>
    <n v="16"/>
    <s v="Hostel Verification Team"/>
  </r>
  <r>
    <s v="HST0144"/>
    <s v="Scholar's Lodge"/>
    <x v="1"/>
    <n v="1.5"/>
    <s v="4-in-a-room"/>
    <s v="Mixed"/>
    <n v="2550"/>
    <n v="22"/>
    <n v="88"/>
    <n v="49"/>
    <n v="55.7"/>
    <s v="No"/>
    <s v="No"/>
    <s v="No"/>
    <s v="No"/>
    <s v="Yes"/>
    <x v="2"/>
    <d v="2025-06-06T00:00:00"/>
    <n v="4.5"/>
    <n v="17"/>
    <s v="Hostel Verification Team"/>
  </r>
  <r>
    <s v="HST0145"/>
    <s v="Ocean Breeze Hostel"/>
    <x v="1"/>
    <n v="2"/>
    <s v="2-in-a-room"/>
    <s v="Mixed"/>
    <n v="6000"/>
    <n v="13"/>
    <n v="26"/>
    <n v="23"/>
    <n v="88.5"/>
    <s v="Yes"/>
    <s v="No"/>
    <s v="Yes"/>
    <s v="Yes"/>
    <s v="Yes"/>
    <x v="0"/>
    <d v="2026-01-24T00:00:00"/>
    <n v="4.2"/>
    <n v="1"/>
    <s v="Hostel Verification Team"/>
  </r>
  <r>
    <s v="HST0146"/>
    <s v="Prime Scholars Hostel"/>
    <x v="5"/>
    <n v="3.7"/>
    <s v="3-in-a-room"/>
    <s v="Mixed"/>
    <n v="3500"/>
    <n v="8"/>
    <n v="24"/>
    <n v="14"/>
    <n v="58.3"/>
    <s v="Yes"/>
    <s v="No"/>
    <s v="Yes"/>
    <s v="Yes"/>
    <s v="No"/>
    <x v="0"/>
    <d v="2025-07-23T00:00:00"/>
    <n v="3.7"/>
    <n v="7"/>
    <s v="Hostel Verification Team"/>
  </r>
  <r>
    <s v="HST0147"/>
    <s v="New Era Hostel"/>
    <x v="3"/>
    <n v="3"/>
    <s v="3-in-a-room"/>
    <s v="Mixed"/>
    <n v="3500"/>
    <n v="24"/>
    <n v="72"/>
    <n v="48"/>
    <n v="66.7"/>
    <s v="No"/>
    <s v="Yes"/>
    <s v="Yes"/>
    <s v="No"/>
    <s v="No"/>
    <x v="2"/>
    <d v="2026-06-19T00:00:00"/>
    <n v="3.6"/>
    <n v="6"/>
    <s v="Hostel Verification Team"/>
  </r>
  <r>
    <s v="HST0148"/>
    <s v="Golden Gate Hostel"/>
    <x v="4"/>
    <n v="0.3"/>
    <s v="4-in-a-room"/>
    <s v="Mixed"/>
    <n v="2800"/>
    <n v="17"/>
    <n v="68"/>
    <n v="35"/>
    <n v="51.5"/>
    <s v="Yes"/>
    <s v="No"/>
    <s v="No"/>
    <s v="Yes"/>
    <s v="No"/>
    <x v="2"/>
    <d v="2025-12-13T00:00:00"/>
    <n v="4.4000000000000004"/>
    <n v="17"/>
    <s v="Hostel Verification Team"/>
  </r>
  <r>
    <s v="HST0149"/>
    <s v="New Era Hostel"/>
    <x v="3"/>
    <n v="5.8"/>
    <s v="4-in-a-room"/>
    <s v="Mixed"/>
    <n v="4550"/>
    <n v="39"/>
    <n v="156"/>
    <n v="112"/>
    <n v="71.8"/>
    <s v="No"/>
    <s v="Yes"/>
    <s v="Yes"/>
    <s v="Yes"/>
    <s v="Yes"/>
    <x v="0"/>
    <d v="2025-07-01T00:00:00"/>
    <n v="5"/>
    <n v="17"/>
    <s v="Hostel Verification Team"/>
  </r>
  <r>
    <s v="HST0150"/>
    <s v="Green Valley Hostel"/>
    <x v="2"/>
    <n v="7.1"/>
    <s v="Single"/>
    <s v="Mixed"/>
    <n v="11500"/>
    <n v="8"/>
    <n v="8"/>
    <n v="5"/>
    <n v="62.5"/>
    <s v="Yes"/>
    <s v="Yes"/>
    <s v="No"/>
    <s v="Yes"/>
    <s v="Yes"/>
    <x v="0"/>
    <d v="2025-05-30T00:00:00"/>
    <n v="3.9"/>
    <n v="6"/>
    <s v="Hostel Verification Team"/>
  </r>
  <r>
    <s v="HST0151"/>
    <s v="Eagle's Nest Hostel"/>
    <x v="7"/>
    <n v="0.6"/>
    <s v="4-in-a-room"/>
    <s v="Female"/>
    <n v="4300"/>
    <n v="39"/>
    <n v="156"/>
    <n v="56"/>
    <n v="35.9"/>
    <s v="Yes"/>
    <s v="Yes"/>
    <s v="Yes"/>
    <s v="No"/>
    <s v="Yes"/>
    <x v="0"/>
    <d v="2025-01-16T00:00:00"/>
    <n v="3.1"/>
    <n v="0"/>
    <s v="Hostel Verification Team"/>
  </r>
  <r>
    <s v="HST0152"/>
    <s v="University Heights Hostel"/>
    <x v="2"/>
    <n v="6.9"/>
    <s v="2-in-a-room"/>
    <s v="Female"/>
    <n v="5250"/>
    <n v="20"/>
    <n v="40"/>
    <n v="33"/>
    <n v="82.5"/>
    <s v="No"/>
    <s v="Yes"/>
    <s v="Yes"/>
    <s v="Yes"/>
    <s v="Yes"/>
    <x v="0"/>
    <d v="2026-07-03T00:00:00"/>
    <n v="4"/>
    <n v="11"/>
    <s v="Hostel Verification Team"/>
  </r>
  <r>
    <s v="HST0153"/>
    <s v="Eagle's Nest Hostel"/>
    <x v="5"/>
    <n v="7.4"/>
    <s v="2-in-a-room"/>
    <s v="Female"/>
    <n v="5750"/>
    <n v="13"/>
    <n v="26"/>
    <n v="10"/>
    <n v="38.5"/>
    <s v="No"/>
    <s v="Yes"/>
    <s v="Yes"/>
    <s v="No"/>
    <s v="No"/>
    <x v="2"/>
    <d v="2025-04-15T00:00:00"/>
    <n v="3.9"/>
    <n v="0"/>
    <s v="Hostel Verification Team"/>
  </r>
  <r>
    <s v="HST0154"/>
    <s v="New Era Hostel"/>
    <x v="2"/>
    <n v="6.7"/>
    <s v="Single"/>
    <s v="Female"/>
    <n v="7250"/>
    <n v="21"/>
    <n v="21"/>
    <n v="21"/>
    <n v="100"/>
    <s v="Yes"/>
    <s v="Yes"/>
    <s v="Yes"/>
    <s v="Yes"/>
    <s v="Yes"/>
    <x v="1"/>
    <d v="2026-05-11T00:00:00"/>
    <n v="3.8"/>
    <n v="5"/>
    <s v="Hostel Verification Team"/>
  </r>
  <r>
    <s v="HST0155"/>
    <s v="Campus View Hostel"/>
    <x v="5"/>
    <n v="4.5"/>
    <s v="4-in-a-room"/>
    <s v="Male"/>
    <n v="2050"/>
    <n v="27"/>
    <n v="108"/>
    <n v="57"/>
    <n v="52.8"/>
    <s v="Yes"/>
    <s v="Yes"/>
    <s v="Yes"/>
    <s v="No"/>
    <s v="Yes"/>
    <x v="0"/>
    <d v="2025-09-13T00:00:00"/>
    <n v="4"/>
    <n v="16"/>
    <s v="Hostel Verification Team"/>
  </r>
  <r>
    <s v="HST0156"/>
    <s v="Kings Court Hostel"/>
    <x v="5"/>
    <n v="6.3"/>
    <s v="3-in-a-room"/>
    <s v="Female"/>
    <n v="4750"/>
    <n v="33"/>
    <n v="99"/>
    <n v="75"/>
    <n v="75.8"/>
    <s v="Yes"/>
    <s v="Yes"/>
    <s v="Yes"/>
    <s v="Yes"/>
    <s v="No"/>
    <x v="0"/>
    <d v="2025-02-09T00:00:00"/>
    <n v="3.5"/>
    <n v="17"/>
    <s v="Hostel Verification Team"/>
  </r>
  <r>
    <s v="HST0157"/>
    <s v="Kings Court Hostel"/>
    <x v="4"/>
    <n v="5.2"/>
    <s v="4-in-a-room"/>
    <s v="Male"/>
    <n v="2050"/>
    <n v="26"/>
    <n v="104"/>
    <n v="67"/>
    <n v="64.400000000000006"/>
    <s v="No"/>
    <s v="Yes"/>
    <s v="Yes"/>
    <s v="Yes"/>
    <s v="Yes"/>
    <x v="0"/>
    <d v="2025-03-26T00:00:00"/>
    <n v="3.9"/>
    <n v="12"/>
    <s v="Hostel Verification Team"/>
  </r>
  <r>
    <s v="HST0158"/>
    <s v="Scholar's Lodge"/>
    <x v="6"/>
    <n v="2.8"/>
    <s v="3-in-a-room"/>
    <s v="Male"/>
    <n v="2750"/>
    <n v="16"/>
    <n v="48"/>
    <n v="21"/>
    <n v="43.8"/>
    <s v="No"/>
    <s v="Yes"/>
    <s v="No"/>
    <s v="No"/>
    <s v="No"/>
    <x v="2"/>
    <d v="2025-07-20T00:00:00"/>
    <n v="4.2"/>
    <n v="0"/>
    <s v="Hostel Verification Team"/>
  </r>
  <r>
    <s v="HST0159"/>
    <s v="Starlight Hostel"/>
    <x v="2"/>
    <n v="4.5999999999999996"/>
    <s v="3-in-a-room"/>
    <s v="Female"/>
    <n v="4000"/>
    <n v="8"/>
    <n v="24"/>
    <n v="17"/>
    <n v="70.8"/>
    <s v="Yes"/>
    <s v="Yes"/>
    <s v="No"/>
    <s v="No"/>
    <s v="Yes"/>
    <x v="0"/>
    <d v="2026-03-09T00:00:00"/>
    <n v="4.2"/>
    <n v="12"/>
    <s v="Hostel Verification Team"/>
  </r>
  <r>
    <s v="HST0160"/>
    <s v="Maple Court Hostel"/>
    <x v="4"/>
    <n v="0.7"/>
    <s v="4-in-a-room"/>
    <s v="Female"/>
    <n v="2800"/>
    <n v="34"/>
    <n v="136"/>
    <n v="85"/>
    <n v="62.5"/>
    <s v="Yes"/>
    <s v="No"/>
    <s v="Yes"/>
    <s v="Yes"/>
    <s v="Yes"/>
    <x v="0"/>
    <d v="2026-05-20T00:00:00"/>
    <n v="4.4000000000000004"/>
    <n v="6"/>
    <s v="Hostel Verification Team"/>
  </r>
  <r>
    <s v="HST0161"/>
    <s v="Sunrise Hostel"/>
    <x v="4"/>
    <n v="2.4"/>
    <s v="4-in-a-room"/>
    <s v="Female"/>
    <n v="3050"/>
    <n v="32"/>
    <n v="128"/>
    <n v="86"/>
    <n v="67.2"/>
    <s v="Yes"/>
    <s v="Yes"/>
    <s v="No"/>
    <s v="Yes"/>
    <s v="No"/>
    <x v="0"/>
    <d v="2026-04-05T00:00:00"/>
    <n v="3.3"/>
    <n v="10"/>
    <s v="Hostel Verification Team"/>
  </r>
  <r>
    <s v="HST0162"/>
    <s v="New Era Hostel"/>
    <x v="4"/>
    <n v="7.2"/>
    <s v="3-in-a-room"/>
    <s v="Mixed"/>
    <n v="3500"/>
    <n v="39"/>
    <n v="117"/>
    <n v="113"/>
    <n v="96.6"/>
    <s v="No"/>
    <s v="Yes"/>
    <s v="Yes"/>
    <s v="Yes"/>
    <s v="No"/>
    <x v="0"/>
    <d v="2025-09-15T00:00:00"/>
    <n v="3.5"/>
    <n v="3"/>
    <s v="Hostel Verification Team"/>
  </r>
  <r>
    <s v="HST0163"/>
    <s v="Peace Haven Hostel"/>
    <x v="4"/>
    <n v="5.2"/>
    <s v="Single"/>
    <s v="Female"/>
    <n v="11250"/>
    <n v="37"/>
    <n v="37"/>
    <n v="34"/>
    <n v="91.9"/>
    <s v="Yes"/>
    <s v="No"/>
    <s v="No"/>
    <s v="No"/>
    <s v="Yes"/>
    <x v="2"/>
    <d v="2025-08-12T00:00:00"/>
    <n v="4.3"/>
    <n v="15"/>
    <s v="Hostel Verification Team"/>
  </r>
  <r>
    <s v="HST0164"/>
    <s v="Ocean Breeze Hostel"/>
    <x v="1"/>
    <n v="6"/>
    <s v="Single"/>
    <s v="Mixed"/>
    <n v="9000"/>
    <n v="38"/>
    <n v="38"/>
    <n v="31"/>
    <n v="81.599999999999994"/>
    <s v="Yes"/>
    <s v="Yes"/>
    <s v="Yes"/>
    <s v="No"/>
    <s v="Yes"/>
    <x v="0"/>
    <d v="2026-02-24T00:00:00"/>
    <n v="4.4000000000000004"/>
    <n v="7"/>
    <s v="Hostel Verification Team"/>
  </r>
  <r>
    <s v="HST0165"/>
    <s v="Starlight Hostel"/>
    <x v="4"/>
    <n v="4.9000000000000004"/>
    <s v="Single"/>
    <s v="Mixed"/>
    <n v="10000"/>
    <n v="33"/>
    <n v="33"/>
    <n v="21"/>
    <n v="63.6"/>
    <s v="Yes"/>
    <s v="Yes"/>
    <s v="Yes"/>
    <s v="Yes"/>
    <s v="Yes"/>
    <x v="1"/>
    <d v="2026-03-26T00:00:00"/>
    <n v="4"/>
    <n v="16"/>
    <s v="Hostel Verification Team"/>
  </r>
  <r>
    <s v="HST0166"/>
    <s v="Garden City Hostel"/>
    <x v="5"/>
    <n v="3.5"/>
    <s v="4-in-a-room"/>
    <s v="Female"/>
    <n v="3550"/>
    <n v="45"/>
    <n v="180"/>
    <n v="150"/>
    <n v="83.3"/>
    <s v="No"/>
    <s v="Yes"/>
    <s v="Yes"/>
    <s v="Yes"/>
    <s v="Yes"/>
    <x v="0"/>
    <d v="2026-06-06T00:00:00"/>
    <n v="3.3"/>
    <n v="9"/>
    <s v="Hostel Verification Team"/>
  </r>
  <r>
    <s v="HST0167"/>
    <s v="Royal Palm Hostel"/>
    <x v="2"/>
    <n v="6.3"/>
    <s v="2-in-a-room"/>
    <s v="Male"/>
    <n v="6250"/>
    <n v="27"/>
    <n v="54"/>
    <n v="39"/>
    <n v="72.2"/>
    <s v="No"/>
    <s v="Yes"/>
    <s v="Yes"/>
    <s v="Yes"/>
    <s v="No"/>
    <x v="0"/>
    <d v="2026-04-21T00:00:00"/>
    <n v="3.9"/>
    <n v="14"/>
    <s v="Hostel Verification Team"/>
  </r>
  <r>
    <s v="HST0168"/>
    <s v="Scholar's Lodge"/>
    <x v="0"/>
    <n v="6.1"/>
    <s v="Single"/>
    <s v="Female"/>
    <n v="5500"/>
    <n v="29"/>
    <n v="29"/>
    <n v="13"/>
    <n v="44.8"/>
    <s v="Yes"/>
    <s v="Yes"/>
    <s v="No"/>
    <s v="Yes"/>
    <s v="Yes"/>
    <x v="0"/>
    <d v="2025-06-27T00:00:00"/>
    <n v="3.4"/>
    <n v="17"/>
    <s v="Hostel Verification Team"/>
  </r>
  <r>
    <s v="HST0169"/>
    <s v="Eagle's Nest Hostel"/>
    <x v="5"/>
    <n v="6"/>
    <s v="2-in-a-room"/>
    <s v="Mixed"/>
    <n v="4750"/>
    <n v="35"/>
    <n v="70"/>
    <n v="49"/>
    <n v="70"/>
    <s v="No"/>
    <s v="No"/>
    <s v="No"/>
    <s v="Yes"/>
    <s v="No"/>
    <x v="2"/>
    <d v="2025-02-08T00:00:00"/>
    <n v="3.9"/>
    <n v="0"/>
    <s v="Hostel Verification Team"/>
  </r>
  <r>
    <s v="HST0170"/>
    <s v="Royal Palm Hostel"/>
    <x v="2"/>
    <n v="6"/>
    <s v="2-in-a-room"/>
    <s v="Mixed"/>
    <n v="6250"/>
    <n v="28"/>
    <n v="56"/>
    <n v="31"/>
    <n v="55.4"/>
    <s v="No"/>
    <s v="Yes"/>
    <s v="No"/>
    <s v="Yes"/>
    <s v="Yes"/>
    <x v="0"/>
    <d v="2026-04-23T00:00:00"/>
    <n v="3.6"/>
    <n v="12"/>
    <s v="Hostel Verification Team"/>
  </r>
  <r>
    <s v="HST0171"/>
    <s v="Comfort Zone Hostel"/>
    <x v="2"/>
    <n v="2.7"/>
    <s v="4-in-a-room"/>
    <s v="Male"/>
    <n v="4050"/>
    <n v="19"/>
    <n v="76"/>
    <n v="69"/>
    <n v="90.8"/>
    <s v="Yes"/>
    <s v="Yes"/>
    <s v="Yes"/>
    <s v="Yes"/>
    <s v="Yes"/>
    <x v="1"/>
    <d v="2025-11-10T00:00:00"/>
    <n v="4.4000000000000004"/>
    <n v="9"/>
    <s v="Hostel Verification Team"/>
  </r>
  <r>
    <s v="HST0172"/>
    <s v="Victory Hostel"/>
    <x v="1"/>
    <n v="3.3"/>
    <s v="2-in-a-room"/>
    <s v="Female"/>
    <n v="6500"/>
    <n v="35"/>
    <n v="70"/>
    <n v="35"/>
    <n v="50"/>
    <s v="Yes"/>
    <s v="Yes"/>
    <s v="Yes"/>
    <s v="Yes"/>
    <s v="Yes"/>
    <x v="1"/>
    <d v="2026-05-23T00:00:00"/>
    <n v="4.4000000000000004"/>
    <n v="5"/>
    <s v="Hostel Verification Team"/>
  </r>
  <r>
    <s v="HST0173"/>
    <s v="Eagle's Nest Hostel"/>
    <x v="0"/>
    <n v="6.5"/>
    <s v="Single"/>
    <s v="Male"/>
    <n v="9250"/>
    <n v="16"/>
    <n v="16"/>
    <n v="8"/>
    <n v="50"/>
    <s v="No"/>
    <s v="No"/>
    <s v="No"/>
    <s v="No"/>
    <s v="No"/>
    <x v="2"/>
    <d v="2026-02-07T00:00:00"/>
    <n v="3.8"/>
    <n v="14"/>
    <s v="Hostel Verification Team"/>
  </r>
  <r>
    <s v="HST0174"/>
    <s v="Golden Gate Hostel"/>
    <x v="3"/>
    <n v="0.4"/>
    <s v="2-in-a-room"/>
    <s v="Female"/>
    <n v="5750"/>
    <n v="18"/>
    <n v="36"/>
    <n v="36"/>
    <n v="100"/>
    <s v="Yes"/>
    <s v="Yes"/>
    <s v="No"/>
    <s v="No"/>
    <s v="Yes"/>
    <x v="0"/>
    <d v="2026-04-23T00:00:00"/>
    <n v="4"/>
    <n v="17"/>
    <s v="Hostel Verification Team"/>
  </r>
  <r>
    <s v="HST0175"/>
    <s v="Prime Scholars Hostel"/>
    <x v="0"/>
    <n v="5.7"/>
    <s v="4-in-a-room"/>
    <s v="Male"/>
    <n v="3800"/>
    <n v="21"/>
    <n v="84"/>
    <n v="56"/>
    <n v="66.7"/>
    <s v="No"/>
    <s v="Yes"/>
    <s v="Yes"/>
    <s v="Yes"/>
    <s v="Yes"/>
    <x v="0"/>
    <d v="2025-04-24T00:00:00"/>
    <n v="4.2"/>
    <n v="11"/>
    <s v="Hostel Verification Team"/>
  </r>
  <r>
    <s v="HST0176"/>
    <s v="Golden Gate Hostel"/>
    <x v="5"/>
    <n v="6.1"/>
    <s v="3-in-a-room"/>
    <s v="Male"/>
    <n v="5250"/>
    <n v="35"/>
    <n v="105"/>
    <n v="57"/>
    <n v="54.3"/>
    <s v="Yes"/>
    <s v="Yes"/>
    <s v="Yes"/>
    <s v="Yes"/>
    <s v="Yes"/>
    <x v="1"/>
    <d v="2025-06-01T00:00:00"/>
    <n v="3.8"/>
    <n v="17"/>
    <s v="Hostel Verification Team"/>
  </r>
  <r>
    <s v="HST0177"/>
    <s v="New Era Hostel"/>
    <x v="3"/>
    <n v="2.2999999999999998"/>
    <s v="3-in-a-room"/>
    <s v="Male"/>
    <n v="4500"/>
    <n v="14"/>
    <n v="42"/>
    <n v="18"/>
    <n v="42.9"/>
    <s v="Yes"/>
    <s v="Yes"/>
    <s v="No"/>
    <s v="Yes"/>
    <s v="Yes"/>
    <x v="0"/>
    <d v="2026-03-07T00:00:00"/>
    <n v="4.3"/>
    <n v="7"/>
    <s v="Hostel Verification Team"/>
  </r>
  <r>
    <s v="HST0178"/>
    <s v="Comfort Zone Hostel"/>
    <x v="6"/>
    <n v="1.2"/>
    <s v="3-in-a-room"/>
    <s v="Female"/>
    <n v="5000"/>
    <n v="34"/>
    <n v="102"/>
    <n v="83"/>
    <n v="81.400000000000006"/>
    <s v="Yes"/>
    <s v="Yes"/>
    <s v="Yes"/>
    <s v="Yes"/>
    <s v="Yes"/>
    <x v="1"/>
    <d v="2026-04-17T00:00:00"/>
    <n v="4.4000000000000004"/>
    <n v="14"/>
    <s v="Hostel Verification Team"/>
  </r>
  <r>
    <s v="HST0179"/>
    <s v="New Era Hostel"/>
    <x v="0"/>
    <n v="6.5"/>
    <s v="Single"/>
    <s v="Female"/>
    <n v="11250"/>
    <n v="37"/>
    <n v="37"/>
    <n v="32"/>
    <n v="86.5"/>
    <s v="No"/>
    <s v="Yes"/>
    <s v="Yes"/>
    <s v="Yes"/>
    <s v="No"/>
    <x v="0"/>
    <d v="2026-01-11T00:00:00"/>
    <n v="3.9"/>
    <n v="15"/>
    <s v="Hostel Verification Team"/>
  </r>
  <r>
    <s v="HST0180"/>
    <s v="Prime Scholars Hostel"/>
    <x v="4"/>
    <n v="4.3"/>
    <s v="4-in-a-room"/>
    <s v="Male"/>
    <n v="3050"/>
    <n v="11"/>
    <n v="44"/>
    <n v="16"/>
    <n v="36.4"/>
    <s v="Yes"/>
    <s v="No"/>
    <s v="Yes"/>
    <s v="No"/>
    <s v="Yes"/>
    <x v="0"/>
    <d v="2025-04-21T00:00:00"/>
    <n v="5"/>
    <n v="14"/>
    <s v="Hostel Verification Team"/>
  </r>
  <r>
    <s v="HST0181"/>
    <s v="Kings Court Hostel"/>
    <x v="5"/>
    <n v="7.5"/>
    <s v="2-in-a-room"/>
    <s v="Mixed"/>
    <n v="5750"/>
    <n v="18"/>
    <n v="36"/>
    <n v="20"/>
    <n v="55.6"/>
    <s v="Yes"/>
    <s v="Yes"/>
    <s v="Yes"/>
    <s v="Yes"/>
    <s v="Yes"/>
    <x v="1"/>
    <d v="2025-04-15T00:00:00"/>
    <n v="3.6"/>
    <n v="1"/>
    <s v="Hostel Verification Team"/>
  </r>
  <r>
    <s v="HST0182"/>
    <s v="Golden Gate Hostel"/>
    <x v="1"/>
    <n v="5"/>
    <s v="Single"/>
    <s v="Mixed"/>
    <n v="5500"/>
    <n v="21"/>
    <n v="21"/>
    <n v="14"/>
    <n v="66.7"/>
    <s v="No"/>
    <s v="Yes"/>
    <s v="No"/>
    <s v="Yes"/>
    <s v="Yes"/>
    <x v="0"/>
    <d v="2025-03-30T00:00:00"/>
    <n v="4.3"/>
    <n v="0"/>
    <s v="Hostel Verification Team"/>
  </r>
  <r>
    <s v="HST0183"/>
    <s v="New Era Hostel"/>
    <x v="2"/>
    <n v="7.4"/>
    <s v="4-in-a-room"/>
    <s v="Female"/>
    <n v="4550"/>
    <n v="16"/>
    <n v="64"/>
    <n v="52"/>
    <n v="81.2"/>
    <s v="Yes"/>
    <s v="Yes"/>
    <s v="Yes"/>
    <s v="Yes"/>
    <s v="No"/>
    <x v="0"/>
    <d v="2025-03-23T00:00:00"/>
    <n v="3.7"/>
    <n v="10"/>
    <s v="Hostel Verification Team"/>
  </r>
  <r>
    <s v="HST0184"/>
    <s v="Ocean Breeze Hostel"/>
    <x v="4"/>
    <n v="0.7"/>
    <s v="Single"/>
    <s v="Male"/>
    <n v="10250"/>
    <n v="18"/>
    <n v="18"/>
    <n v="13"/>
    <n v="72.2"/>
    <s v="No"/>
    <s v="Yes"/>
    <s v="Yes"/>
    <s v="Yes"/>
    <s v="Yes"/>
    <x v="0"/>
    <d v="2026-01-04T00:00:00"/>
    <n v="4.3"/>
    <n v="2"/>
    <s v="Hostel Verification Team"/>
  </r>
  <r>
    <s v="HST0185"/>
    <s v="Ocean Breeze Hostel"/>
    <x v="2"/>
    <n v="4.5"/>
    <s v="4-in-a-room"/>
    <s v="Female"/>
    <n v="3050"/>
    <n v="35"/>
    <n v="140"/>
    <n v="89"/>
    <n v="63.6"/>
    <s v="Yes"/>
    <s v="Yes"/>
    <s v="No"/>
    <s v="Yes"/>
    <s v="Yes"/>
    <x v="0"/>
    <d v="2025-06-02T00:00:00"/>
    <n v="3.3"/>
    <n v="17"/>
    <s v="Hostel Verification Team"/>
  </r>
  <r>
    <s v="HST0186"/>
    <s v="Campus View Hostel"/>
    <x v="3"/>
    <n v="1.7"/>
    <s v="2-in-a-room"/>
    <s v="Mixed"/>
    <n v="6500"/>
    <n v="26"/>
    <n v="52"/>
    <n v="21"/>
    <n v="40.4"/>
    <s v="Yes"/>
    <s v="No"/>
    <s v="Yes"/>
    <s v="No"/>
    <s v="No"/>
    <x v="2"/>
    <d v="2025-09-12T00:00:00"/>
    <n v="3.5"/>
    <n v="2"/>
    <s v="Hostel Verification Team"/>
  </r>
  <r>
    <s v="HST0187"/>
    <s v="Campus View Hostel"/>
    <x v="7"/>
    <n v="7"/>
    <s v="2-in-a-room"/>
    <s v="Male"/>
    <n v="6500"/>
    <n v="44"/>
    <n v="88"/>
    <n v="56"/>
    <n v="63.6"/>
    <s v="Yes"/>
    <s v="Yes"/>
    <s v="Yes"/>
    <s v="Yes"/>
    <s v="No"/>
    <x v="0"/>
    <d v="2026-01-19T00:00:00"/>
    <n v="4"/>
    <n v="0"/>
    <s v="Hostel Verification Team"/>
  </r>
  <r>
    <s v="HST0188"/>
    <s v="Comfort Zone Hostel"/>
    <x v="3"/>
    <n v="4.8"/>
    <s v="4-in-a-room"/>
    <s v="Male"/>
    <n v="3300"/>
    <n v="33"/>
    <n v="132"/>
    <n v="56"/>
    <n v="42.4"/>
    <s v="Yes"/>
    <s v="Yes"/>
    <s v="Yes"/>
    <s v="Yes"/>
    <s v="Yes"/>
    <x v="1"/>
    <d v="2026-07-13T00:00:00"/>
    <n v="4.2"/>
    <n v="16"/>
    <s v="Hostel Verification Team"/>
  </r>
  <r>
    <s v="HST0189"/>
    <s v="Ocean Breeze Hostel"/>
    <x v="7"/>
    <n v="3.1"/>
    <s v="Single"/>
    <s v="Mixed"/>
    <n v="7750"/>
    <n v="35"/>
    <n v="35"/>
    <n v="35"/>
    <n v="100"/>
    <s v="No"/>
    <s v="Yes"/>
    <s v="Yes"/>
    <s v="Yes"/>
    <s v="Yes"/>
    <x v="0"/>
    <d v="2025-09-11T00:00:00"/>
    <n v="3.9"/>
    <n v="14"/>
    <s v="Hostel Verification Team"/>
  </r>
  <r>
    <s v="HST0190"/>
    <s v="University Heights Hostel"/>
    <x v="2"/>
    <n v="0.3"/>
    <s v="2-in-a-room"/>
    <s v="Male"/>
    <n v="3500"/>
    <n v="18"/>
    <n v="36"/>
    <n v="27"/>
    <n v="75"/>
    <s v="Yes"/>
    <s v="Yes"/>
    <s v="Yes"/>
    <s v="Yes"/>
    <s v="Yes"/>
    <x v="1"/>
    <d v="2025-12-31T00:00:00"/>
    <n v="3.9"/>
    <n v="3"/>
    <s v="Hostel Verification Team"/>
  </r>
  <r>
    <s v="HST0191"/>
    <s v="New Era Hostel"/>
    <x v="1"/>
    <n v="2.2000000000000002"/>
    <s v="Single"/>
    <s v="Male"/>
    <n v="7500"/>
    <n v="44"/>
    <n v="44"/>
    <n v="35"/>
    <n v="79.5"/>
    <s v="Yes"/>
    <s v="Yes"/>
    <s v="No"/>
    <s v="No"/>
    <s v="No"/>
    <x v="2"/>
    <d v="2025-03-29T00:00:00"/>
    <n v="4.2"/>
    <n v="15"/>
    <s v="Hostel Verification Team"/>
  </r>
  <r>
    <s v="HST0192"/>
    <s v="Blue Sky Hostel"/>
    <x v="2"/>
    <n v="6.7"/>
    <s v="Single"/>
    <s v="Male"/>
    <n v="7250"/>
    <n v="40"/>
    <n v="40"/>
    <n v="14"/>
    <n v="35"/>
    <s v="No"/>
    <s v="Yes"/>
    <s v="Yes"/>
    <s v="Yes"/>
    <s v="Yes"/>
    <x v="0"/>
    <d v="2025-02-24T00:00:00"/>
    <n v="3.7"/>
    <n v="12"/>
    <s v="Hostel Verification Team"/>
  </r>
  <r>
    <s v="HST0193"/>
    <s v="University Heights Hostel"/>
    <x v="0"/>
    <n v="4.2"/>
    <s v="4-in-a-room"/>
    <s v="Male"/>
    <n v="2550"/>
    <n v="28"/>
    <n v="112"/>
    <n v="70"/>
    <n v="62.5"/>
    <s v="Yes"/>
    <s v="Yes"/>
    <s v="Yes"/>
    <s v="Yes"/>
    <s v="Yes"/>
    <x v="1"/>
    <d v="2026-03-12T00:00:00"/>
    <n v="3.9"/>
    <n v="16"/>
    <s v="Hostel Verification Team"/>
  </r>
  <r>
    <s v="HST0194"/>
    <s v="Victory Hostel"/>
    <x v="0"/>
    <n v="7.2"/>
    <s v="Single"/>
    <s v="Mixed"/>
    <n v="9000"/>
    <n v="26"/>
    <n v="26"/>
    <n v="18"/>
    <n v="69.2"/>
    <s v="Yes"/>
    <s v="Yes"/>
    <s v="Yes"/>
    <s v="Yes"/>
    <s v="No"/>
    <x v="0"/>
    <d v="2025-12-11T00:00:00"/>
    <n v="3.8"/>
    <n v="9"/>
    <s v="Hostel Verification Team"/>
  </r>
  <r>
    <s v="HST0195"/>
    <s v="Scholar's Lodge"/>
    <x v="5"/>
    <n v="3.6"/>
    <s v="4-in-a-room"/>
    <s v="Male"/>
    <n v="2550"/>
    <n v="42"/>
    <n v="168"/>
    <n v="155"/>
    <n v="92.3"/>
    <s v="Yes"/>
    <s v="Yes"/>
    <s v="Yes"/>
    <s v="Yes"/>
    <s v="Yes"/>
    <x v="1"/>
    <d v="2025-09-18T00:00:00"/>
    <n v="3.4"/>
    <n v="17"/>
    <s v="Hostel Verification Team"/>
  </r>
  <r>
    <s v="HST0196"/>
    <s v="New Era Hostel"/>
    <x v="0"/>
    <n v="5.7"/>
    <s v="4-in-a-room"/>
    <s v="Male"/>
    <n v="4550"/>
    <n v="27"/>
    <n v="108"/>
    <n v="50"/>
    <n v="46.3"/>
    <s v="Yes"/>
    <s v="Yes"/>
    <s v="Yes"/>
    <s v="Yes"/>
    <s v="No"/>
    <x v="0"/>
    <d v="2025-08-08T00:00:00"/>
    <n v="4.9000000000000004"/>
    <n v="8"/>
    <s v="Hostel Verification Team"/>
  </r>
  <r>
    <s v="HST0197"/>
    <s v="Green Valley Hostel"/>
    <x v="5"/>
    <n v="6.8"/>
    <s v="4-in-a-room"/>
    <s v="Male"/>
    <n v="4550"/>
    <n v="31"/>
    <n v="124"/>
    <n v="101"/>
    <n v="81.5"/>
    <s v="No"/>
    <s v="Yes"/>
    <s v="No"/>
    <s v="Yes"/>
    <s v="Yes"/>
    <x v="0"/>
    <d v="2025-04-06T00:00:00"/>
    <n v="3.5"/>
    <n v="18"/>
    <s v="Hostel Verification Team"/>
  </r>
  <r>
    <s v="HST0198"/>
    <s v="Golden Gate Hostel"/>
    <x v="3"/>
    <n v="2.1"/>
    <s v="3-in-a-room"/>
    <s v="Mixed"/>
    <n v="5500"/>
    <n v="33"/>
    <n v="99"/>
    <n v="75"/>
    <n v="75.8"/>
    <s v="Yes"/>
    <s v="Yes"/>
    <s v="Yes"/>
    <s v="No"/>
    <s v="Yes"/>
    <x v="0"/>
    <d v="2025-12-01T00:00:00"/>
    <n v="3.8"/>
    <n v="4"/>
    <s v="Hostel Verification Team"/>
  </r>
  <r>
    <s v="HST0199"/>
    <s v="Sunrise Hostel"/>
    <x v="4"/>
    <n v="1"/>
    <s v="4-in-a-room"/>
    <s v="Mixed"/>
    <n v="3550"/>
    <n v="28"/>
    <n v="112"/>
    <n v="91"/>
    <n v="81.2"/>
    <s v="Yes"/>
    <s v="No"/>
    <s v="Yes"/>
    <s v="Yes"/>
    <s v="Yes"/>
    <x v="0"/>
    <d v="2025-05-13T00:00:00"/>
    <n v="4.0999999999999996"/>
    <n v="8"/>
    <s v="Hostel Verification Team"/>
  </r>
  <r>
    <s v="HST0200"/>
    <s v="Scholar's Lodge"/>
    <x v="0"/>
    <n v="1.8"/>
    <s v="3-in-a-room"/>
    <s v="Male"/>
    <n v="3000"/>
    <n v="13"/>
    <n v="39"/>
    <n v="35"/>
    <n v="89.7"/>
    <s v="Yes"/>
    <s v="Yes"/>
    <s v="No"/>
    <s v="Yes"/>
    <s v="No"/>
    <x v="0"/>
    <d v="2025-09-21T00:00:00"/>
    <n v="3.8"/>
    <n v="8"/>
    <s v="Hostel Verification Team"/>
  </r>
  <r>
    <s v="HST0201"/>
    <s v="Campus View Hostel"/>
    <x v="1"/>
    <n v="6.4"/>
    <s v="2-in-a-room"/>
    <s v="Mixed"/>
    <n v="4250"/>
    <n v="37"/>
    <n v="74"/>
    <n v="31"/>
    <n v="41.9"/>
    <s v="Yes"/>
    <s v="Yes"/>
    <s v="Yes"/>
    <s v="Yes"/>
    <s v="Yes"/>
    <x v="1"/>
    <d v="2025-06-02T00:00:00"/>
    <n v="4.2"/>
    <n v="6"/>
    <s v="Hostel Verification Team"/>
  </r>
  <r>
    <s v="HST0202"/>
    <s v="Royal Palm Hostel"/>
    <x v="3"/>
    <n v="6.9"/>
    <s v="Single"/>
    <s v="Male"/>
    <n v="5500"/>
    <n v="12"/>
    <n v="12"/>
    <n v="7"/>
    <n v="58.3"/>
    <s v="Yes"/>
    <s v="Yes"/>
    <s v="Yes"/>
    <s v="Yes"/>
    <s v="Yes"/>
    <x v="1"/>
    <d v="2026-04-09T00:00:00"/>
    <n v="3.5"/>
    <n v="14"/>
    <s v="Hostel Verification Team"/>
  </r>
  <r>
    <s v="HST0203"/>
    <s v="University Heights Hostel"/>
    <x v="1"/>
    <n v="6.2"/>
    <s v="4-in-a-room"/>
    <s v="Mixed"/>
    <n v="3550"/>
    <n v="9"/>
    <n v="36"/>
    <n v="24"/>
    <n v="66.7"/>
    <s v="Yes"/>
    <s v="Yes"/>
    <s v="Yes"/>
    <s v="Yes"/>
    <s v="Yes"/>
    <x v="1"/>
    <d v="2026-03-22T00:00:00"/>
    <n v="3.7"/>
    <n v="8"/>
    <s v="Hostel Verification Team"/>
  </r>
  <r>
    <s v="HST0204"/>
    <s v="Hilltop Hostel"/>
    <x v="5"/>
    <n v="4.9000000000000004"/>
    <s v="4-in-a-room"/>
    <s v="Mixed"/>
    <n v="3300"/>
    <n v="43"/>
    <n v="172"/>
    <n v="121"/>
    <n v="70.3"/>
    <s v="Yes"/>
    <s v="No"/>
    <s v="Yes"/>
    <s v="Yes"/>
    <s v="Yes"/>
    <x v="0"/>
    <d v="2025-03-13T00:00:00"/>
    <n v="4.0999999999999996"/>
    <n v="6"/>
    <s v="Hostel Verification Team"/>
  </r>
  <r>
    <s v="HST0205"/>
    <s v="Victory Hostel"/>
    <x v="5"/>
    <n v="4.8"/>
    <s v="Single"/>
    <s v="Male"/>
    <n v="8500"/>
    <n v="30"/>
    <n v="30"/>
    <n v="25"/>
    <n v="83.3"/>
    <s v="Yes"/>
    <s v="No"/>
    <s v="No"/>
    <s v="No"/>
    <s v="Yes"/>
    <x v="2"/>
    <d v="2026-07-21T00:00:00"/>
    <n v="4.2"/>
    <n v="8"/>
    <s v="Hostel Verification Team"/>
  </r>
  <r>
    <s v="HST0206"/>
    <s v="Campus View Hostel"/>
    <x v="3"/>
    <n v="0.6"/>
    <s v="4-in-a-room"/>
    <s v="Mixed"/>
    <n v="3800"/>
    <n v="30"/>
    <n v="120"/>
    <n v="116"/>
    <n v="96.7"/>
    <s v="Yes"/>
    <s v="Yes"/>
    <s v="Yes"/>
    <s v="Yes"/>
    <s v="Yes"/>
    <x v="1"/>
    <d v="2025-09-05T00:00:00"/>
    <n v="4.4000000000000004"/>
    <n v="17"/>
    <s v="Hostel Verification Team"/>
  </r>
  <r>
    <s v="HST0207"/>
    <s v="Green Valley Hostel"/>
    <x v="5"/>
    <n v="4.4000000000000004"/>
    <s v="4-in-a-room"/>
    <s v="Male"/>
    <n v="3050"/>
    <n v="19"/>
    <n v="76"/>
    <n v="37"/>
    <n v="48.7"/>
    <s v="Yes"/>
    <s v="Yes"/>
    <s v="No"/>
    <s v="Yes"/>
    <s v="Yes"/>
    <x v="0"/>
    <d v="2025-09-09T00:00:00"/>
    <n v="3.3"/>
    <n v="18"/>
    <s v="Hostel Verification Team"/>
  </r>
  <r>
    <s v="HST0208"/>
    <s v="Maple Court Hostel"/>
    <x v="3"/>
    <n v="1.5"/>
    <s v="Single"/>
    <s v="Female"/>
    <n v="6000"/>
    <n v="11"/>
    <n v="11"/>
    <n v="6"/>
    <n v="54.5"/>
    <s v="Yes"/>
    <s v="Yes"/>
    <s v="Yes"/>
    <s v="Yes"/>
    <s v="No"/>
    <x v="0"/>
    <d v="2025-08-22T00:00:00"/>
    <n v="3.7"/>
    <n v="4"/>
    <s v="Hostel Verification Team"/>
  </r>
  <r>
    <s v="HST0209"/>
    <s v="University Heights Hostel"/>
    <x v="7"/>
    <n v="0.6"/>
    <s v="2-in-a-room"/>
    <s v="Male"/>
    <n v="4500"/>
    <n v="15"/>
    <n v="30"/>
    <n v="26"/>
    <n v="86.7"/>
    <s v="No"/>
    <s v="Yes"/>
    <s v="No"/>
    <s v="Yes"/>
    <s v="Yes"/>
    <x v="0"/>
    <d v="2026-01-18T00:00:00"/>
    <n v="3.9"/>
    <n v="10"/>
    <s v="Hostel Verification Team"/>
  </r>
  <r>
    <s v="HST0210"/>
    <s v="Kings Court Hostel"/>
    <x v="6"/>
    <n v="4.9000000000000004"/>
    <s v="2-in-a-room"/>
    <s v="Mixed"/>
    <n v="6250"/>
    <n v="22"/>
    <n v="44"/>
    <n v="36"/>
    <n v="81.8"/>
    <s v="Yes"/>
    <s v="Yes"/>
    <s v="No"/>
    <s v="No"/>
    <s v="Yes"/>
    <x v="0"/>
    <d v="2025-07-08T00:00:00"/>
    <n v="4.3"/>
    <n v="5"/>
    <s v="Hostel Verification Team"/>
  </r>
  <r>
    <s v="HST0211"/>
    <s v="Campus View Hostel"/>
    <x v="1"/>
    <n v="6.4"/>
    <s v="Single"/>
    <s v="Mixed"/>
    <n v="6750"/>
    <n v="28"/>
    <n v="28"/>
    <n v="28"/>
    <n v="100"/>
    <s v="Yes"/>
    <s v="Yes"/>
    <s v="Yes"/>
    <s v="Yes"/>
    <s v="No"/>
    <x v="0"/>
    <d v="2025-08-24T00:00:00"/>
    <n v="3.7"/>
    <n v="7"/>
    <s v="Hostel Verification Team"/>
  </r>
  <r>
    <s v="HST0212"/>
    <s v="Royal Palm Hostel"/>
    <x v="7"/>
    <n v="3.5"/>
    <s v="3-in-a-room"/>
    <s v="Female"/>
    <n v="3250"/>
    <n v="23"/>
    <n v="69"/>
    <n v="68"/>
    <n v="98.6"/>
    <s v="Yes"/>
    <s v="Yes"/>
    <s v="Yes"/>
    <s v="Yes"/>
    <s v="Yes"/>
    <x v="1"/>
    <d v="2025-03-20T00:00:00"/>
    <n v="4.4000000000000004"/>
    <n v="12"/>
    <s v="Hostel Verification Team"/>
  </r>
  <r>
    <s v="HST0213"/>
    <s v="Kings Court Hostel"/>
    <x v="4"/>
    <n v="6.7"/>
    <s v="4-in-a-room"/>
    <s v="Female"/>
    <n v="3300"/>
    <n v="30"/>
    <n v="120"/>
    <n v="111"/>
    <n v="92.5"/>
    <s v="Yes"/>
    <s v="Yes"/>
    <s v="No"/>
    <s v="Yes"/>
    <s v="No"/>
    <x v="0"/>
    <d v="2026-01-29T00:00:00"/>
    <n v="5"/>
    <n v="14"/>
    <s v="Hostel Verification Team"/>
  </r>
  <r>
    <s v="HST0214"/>
    <s v="Campus View Hostel"/>
    <x v="7"/>
    <n v="2.1"/>
    <s v="Single"/>
    <s v="Mixed"/>
    <n v="6000"/>
    <n v="29"/>
    <n v="29"/>
    <n v="15"/>
    <n v="51.7"/>
    <s v="Yes"/>
    <s v="Yes"/>
    <s v="No"/>
    <s v="Yes"/>
    <s v="Yes"/>
    <x v="0"/>
    <d v="2026-01-29T00:00:00"/>
    <n v="4.5"/>
    <n v="15"/>
    <s v="Hostel Verification Team"/>
  </r>
  <r>
    <s v="HST0215"/>
    <s v="Campus View Hostel"/>
    <x v="1"/>
    <n v="7.1"/>
    <s v="2-in-a-room"/>
    <s v="Female"/>
    <n v="6750"/>
    <n v="18"/>
    <n v="36"/>
    <n v="13"/>
    <n v="36.1"/>
    <s v="No"/>
    <s v="Yes"/>
    <s v="Yes"/>
    <s v="Yes"/>
    <s v="Yes"/>
    <x v="0"/>
    <d v="2025-04-23T00:00:00"/>
    <n v="3.9"/>
    <n v="9"/>
    <s v="Hostel Verification Team"/>
  </r>
  <r>
    <s v="HST0216"/>
    <s v="Garden City Hostel"/>
    <x v="6"/>
    <n v="1.3"/>
    <s v="3-in-a-room"/>
    <s v="Mixed"/>
    <n v="2500"/>
    <n v="35"/>
    <n v="105"/>
    <n v="47"/>
    <n v="44.8"/>
    <s v="Yes"/>
    <s v="Yes"/>
    <s v="Yes"/>
    <s v="No"/>
    <s v="Yes"/>
    <x v="0"/>
    <d v="2025-11-07T00:00:00"/>
    <n v="4.2"/>
    <n v="5"/>
    <s v="Hostel Verification Team"/>
  </r>
  <r>
    <s v="HST0217"/>
    <s v="Scholar's Lodge"/>
    <x v="2"/>
    <n v="3.7"/>
    <s v="Single"/>
    <s v="Female"/>
    <n v="7750"/>
    <n v="33"/>
    <n v="33"/>
    <n v="26"/>
    <n v="78.8"/>
    <s v="No"/>
    <s v="Yes"/>
    <s v="No"/>
    <s v="Yes"/>
    <s v="Yes"/>
    <x v="0"/>
    <d v="2026-05-25T00:00:00"/>
    <n v="4.4000000000000004"/>
    <n v="11"/>
    <s v="Hostel Verification Team"/>
  </r>
  <r>
    <s v="HST0218"/>
    <s v="Green Valley Hostel"/>
    <x v="3"/>
    <n v="3.4"/>
    <s v="3-in-a-room"/>
    <s v="Male"/>
    <n v="3250"/>
    <n v="25"/>
    <n v="75"/>
    <n v="62"/>
    <n v="82.7"/>
    <s v="Yes"/>
    <s v="No"/>
    <s v="Yes"/>
    <s v="Yes"/>
    <s v="Yes"/>
    <x v="0"/>
    <d v="2025-03-14T00:00:00"/>
    <n v="3.7"/>
    <n v="18"/>
    <s v="Hostel Verification Team"/>
  </r>
  <r>
    <s v="HST0219"/>
    <s v="Prime Scholars Hostel"/>
    <x v="0"/>
    <n v="6.3"/>
    <s v="4-in-a-room"/>
    <s v="Mixed"/>
    <n v="3800"/>
    <n v="38"/>
    <n v="152"/>
    <n v="126"/>
    <n v="82.9"/>
    <s v="No"/>
    <s v="Yes"/>
    <s v="Yes"/>
    <s v="No"/>
    <s v="Yes"/>
    <x v="0"/>
    <d v="2025-09-08T00:00:00"/>
    <n v="3.4"/>
    <n v="16"/>
    <s v="Hostel Verification Team"/>
  </r>
  <r>
    <s v="HST0220"/>
    <s v="Hilltop Hostel"/>
    <x v="4"/>
    <n v="1.1000000000000001"/>
    <s v="4-in-a-room"/>
    <s v="Mixed"/>
    <n v="2300"/>
    <n v="18"/>
    <n v="72"/>
    <n v="38"/>
    <n v="52.8"/>
    <s v="Yes"/>
    <s v="No"/>
    <s v="Yes"/>
    <s v="Yes"/>
    <s v="Yes"/>
    <x v="0"/>
    <d v="2025-07-26T00:00:00"/>
    <n v="3.7"/>
    <n v="6"/>
    <s v="Hostel Verification Team"/>
  </r>
  <r>
    <s v="HST0221"/>
    <s v="Ocean Breeze Hostel"/>
    <x v="3"/>
    <n v="2.5"/>
    <s v="Single"/>
    <s v="Female"/>
    <n v="6000"/>
    <n v="32"/>
    <n v="32"/>
    <n v="28"/>
    <n v="87.5"/>
    <s v="No"/>
    <s v="Yes"/>
    <s v="No"/>
    <s v="Yes"/>
    <s v="Yes"/>
    <x v="0"/>
    <d v="2026-02-20T00:00:00"/>
    <n v="3.4"/>
    <n v="18"/>
    <s v="Hostel Verification Team"/>
  </r>
  <r>
    <s v="HST0222"/>
    <s v="Ocean Breeze Hostel"/>
    <x v="4"/>
    <n v="4.3"/>
    <s v="Single"/>
    <s v="Mixed"/>
    <n v="6250"/>
    <n v="44"/>
    <n v="44"/>
    <n v="39"/>
    <n v="88.6"/>
    <s v="Yes"/>
    <s v="No"/>
    <s v="Yes"/>
    <s v="Yes"/>
    <s v="Yes"/>
    <x v="0"/>
    <d v="2025-04-23T00:00:00"/>
    <n v="3.9"/>
    <n v="15"/>
    <s v="Hostel Verification Team"/>
  </r>
  <r>
    <s v="HST0223"/>
    <s v="Hilltop Hostel"/>
    <x v="6"/>
    <n v="0.5"/>
    <s v="3-in-a-room"/>
    <s v="Male"/>
    <n v="4000"/>
    <n v="17"/>
    <n v="51"/>
    <n v="42"/>
    <n v="82.4"/>
    <s v="Yes"/>
    <s v="Yes"/>
    <s v="No"/>
    <s v="No"/>
    <s v="Yes"/>
    <x v="0"/>
    <d v="2025-02-18T00:00:00"/>
    <n v="5"/>
    <n v="15"/>
    <s v="Hostel Verification Team"/>
  </r>
  <r>
    <s v="HST0224"/>
    <s v="New Era Hostel"/>
    <x v="3"/>
    <n v="2.5"/>
    <s v="4-in-a-room"/>
    <s v="Male"/>
    <n v="4550"/>
    <n v="14"/>
    <n v="56"/>
    <n v="33"/>
    <n v="58.9"/>
    <s v="Yes"/>
    <s v="No"/>
    <s v="Yes"/>
    <s v="Yes"/>
    <s v="No"/>
    <x v="0"/>
    <d v="2025-05-27T00:00:00"/>
    <n v="3.4"/>
    <n v="2"/>
    <s v="Hostel Verification Team"/>
  </r>
  <r>
    <s v="HST0225"/>
    <s v="Eagle's Nest Hostel"/>
    <x v="5"/>
    <n v="6.9"/>
    <s v="4-in-a-room"/>
    <s v="Mixed"/>
    <n v="4550"/>
    <n v="39"/>
    <n v="156"/>
    <n v="151"/>
    <n v="96.8"/>
    <s v="Yes"/>
    <s v="Yes"/>
    <s v="No"/>
    <s v="Yes"/>
    <s v="Yes"/>
    <x v="0"/>
    <d v="2026-06-22T00:00:00"/>
    <n v="3.9"/>
    <n v="9"/>
    <s v="Hostel Verification Team"/>
  </r>
  <r>
    <s v="HST0226"/>
    <s v="Garden City Hostel"/>
    <x v="0"/>
    <n v="1.5"/>
    <s v="2-in-a-room"/>
    <s v="Female"/>
    <n v="3750"/>
    <n v="23"/>
    <n v="46"/>
    <n v="17"/>
    <n v="37"/>
    <s v="Yes"/>
    <s v="Yes"/>
    <s v="No"/>
    <s v="Yes"/>
    <s v="Yes"/>
    <x v="0"/>
    <d v="2026-04-22T00:00:00"/>
    <n v="3.5"/>
    <n v="11"/>
    <s v="Hostel Verification Team"/>
  </r>
  <r>
    <s v="HST0227"/>
    <s v="Victory Hostel"/>
    <x v="1"/>
    <n v="4.8"/>
    <s v="Single"/>
    <s v="Mixed"/>
    <n v="10750"/>
    <n v="9"/>
    <n v="9"/>
    <n v="4"/>
    <n v="44.4"/>
    <s v="No"/>
    <s v="Yes"/>
    <s v="Yes"/>
    <s v="No"/>
    <s v="No"/>
    <x v="2"/>
    <d v="2026-01-26T00:00:00"/>
    <n v="4.5999999999999996"/>
    <n v="11"/>
    <s v="Hostel Verification Team"/>
  </r>
  <r>
    <s v="HST0228"/>
    <s v="Royal Palm Hostel"/>
    <x v="3"/>
    <n v="0.4"/>
    <s v="Single"/>
    <s v="Mixed"/>
    <n v="6750"/>
    <n v="44"/>
    <n v="44"/>
    <n v="39"/>
    <n v="88.6"/>
    <s v="Yes"/>
    <s v="Yes"/>
    <s v="No"/>
    <s v="Yes"/>
    <s v="Yes"/>
    <x v="0"/>
    <d v="2025-08-17T00:00:00"/>
    <n v="5"/>
    <n v="13"/>
    <s v="Hostel Verification Team"/>
  </r>
  <r>
    <s v="HST0229"/>
    <s v="Campus View Hostel"/>
    <x v="0"/>
    <n v="3.7"/>
    <s v="2-in-a-room"/>
    <s v="Mixed"/>
    <n v="4750"/>
    <n v="8"/>
    <n v="16"/>
    <n v="8"/>
    <n v="50"/>
    <s v="No"/>
    <s v="Yes"/>
    <s v="Yes"/>
    <s v="Yes"/>
    <s v="Yes"/>
    <x v="0"/>
    <d v="2025-09-25T00:00:00"/>
    <n v="4"/>
    <n v="14"/>
    <s v="Hostel Verification Team"/>
  </r>
  <r>
    <s v="HST0230"/>
    <s v="Victory Hostel"/>
    <x v="1"/>
    <n v="4.5"/>
    <s v="Single"/>
    <s v="Mixed"/>
    <n v="9500"/>
    <n v="31"/>
    <n v="31"/>
    <n v="27"/>
    <n v="87.1"/>
    <s v="Yes"/>
    <s v="Yes"/>
    <s v="Yes"/>
    <s v="Yes"/>
    <s v="Yes"/>
    <x v="1"/>
    <d v="2025-10-26T00:00:00"/>
    <n v="4.5999999999999996"/>
    <n v="8"/>
    <s v="Hostel Verification Team"/>
  </r>
  <r>
    <s v="HST0231"/>
    <s v="New Era Hostel"/>
    <x v="3"/>
    <n v="2.1"/>
    <s v="3-in-a-room"/>
    <s v="Female"/>
    <n v="3250"/>
    <n v="17"/>
    <n v="51"/>
    <n v="50"/>
    <n v="98"/>
    <s v="Yes"/>
    <s v="Yes"/>
    <s v="No"/>
    <s v="Yes"/>
    <s v="No"/>
    <x v="0"/>
    <d v="2025-09-13T00:00:00"/>
    <n v="2.9"/>
    <n v="0"/>
    <s v="Hostel Verification Team"/>
  </r>
  <r>
    <s v="HST0232"/>
    <s v="Kings Court Hostel"/>
    <x v="1"/>
    <n v="3"/>
    <s v="Single"/>
    <s v="Female"/>
    <n v="10000"/>
    <n v="44"/>
    <n v="44"/>
    <n v="41"/>
    <n v="93.2"/>
    <s v="No"/>
    <s v="Yes"/>
    <s v="No"/>
    <s v="Yes"/>
    <s v="Yes"/>
    <x v="0"/>
    <d v="2025-07-23T00:00:00"/>
    <n v="2.4"/>
    <n v="16"/>
    <s v="Hostel Verification Team"/>
  </r>
  <r>
    <s v="HST0233"/>
    <s v="University Heights Hostel"/>
    <x v="4"/>
    <n v="2.2999999999999998"/>
    <s v="4-in-a-room"/>
    <s v="Female"/>
    <n v="2300"/>
    <n v="24"/>
    <n v="96"/>
    <n v="56"/>
    <n v="58.3"/>
    <s v="Yes"/>
    <s v="Yes"/>
    <s v="Yes"/>
    <s v="Yes"/>
    <s v="Yes"/>
    <x v="1"/>
    <d v="2025-12-19T00:00:00"/>
    <n v="4.0999999999999996"/>
    <n v="13"/>
    <s v="Hostel Verification Team"/>
  </r>
  <r>
    <s v="HST0234"/>
    <s v="Garden City Hostel"/>
    <x v="3"/>
    <n v="3.6"/>
    <s v="Single"/>
    <s v="Male"/>
    <n v="9250"/>
    <n v="11"/>
    <n v="11"/>
    <n v="4"/>
    <n v="36.4"/>
    <s v="No"/>
    <s v="Yes"/>
    <s v="No"/>
    <s v="Yes"/>
    <s v="Yes"/>
    <x v="0"/>
    <d v="2026-05-08T00:00:00"/>
    <n v="3.5"/>
    <n v="13"/>
    <s v="Hostel Verification Team"/>
  </r>
  <r>
    <s v="HST0235"/>
    <s v="Ocean Breeze Hostel"/>
    <x v="4"/>
    <n v="7.4"/>
    <s v="3-in-a-room"/>
    <s v="Female"/>
    <n v="4000"/>
    <n v="44"/>
    <n v="132"/>
    <n v="104"/>
    <n v="78.8"/>
    <s v="No"/>
    <s v="Yes"/>
    <s v="Yes"/>
    <s v="Yes"/>
    <s v="Yes"/>
    <x v="0"/>
    <d v="2025-06-05T00:00:00"/>
    <n v="3.9"/>
    <n v="5"/>
    <s v="Hostel Verification Team"/>
  </r>
  <r>
    <s v="HST0236"/>
    <s v="Blue Sky Hostel"/>
    <x v="5"/>
    <n v="5.8"/>
    <s v="2-in-a-room"/>
    <s v="Female"/>
    <n v="4750"/>
    <n v="39"/>
    <n v="78"/>
    <n v="77"/>
    <n v="98.7"/>
    <s v="No"/>
    <s v="No"/>
    <s v="No"/>
    <s v="Yes"/>
    <s v="No"/>
    <x v="2"/>
    <d v="2025-04-10T00:00:00"/>
    <n v="4.2"/>
    <n v="13"/>
    <s v="Hostel Verification Team"/>
  </r>
  <r>
    <s v="HST0237"/>
    <s v="Comfort Zone Hostel"/>
    <x v="0"/>
    <n v="0.5"/>
    <s v="2-in-a-room"/>
    <s v="Male"/>
    <n v="6250"/>
    <n v="8"/>
    <n v="16"/>
    <n v="10"/>
    <n v="62.5"/>
    <s v="Yes"/>
    <s v="Yes"/>
    <s v="No"/>
    <s v="Yes"/>
    <s v="Yes"/>
    <x v="0"/>
    <d v="2026-07-07T00:00:00"/>
    <n v="3.8"/>
    <n v="7"/>
    <s v="Hostel Verification Team"/>
  </r>
  <r>
    <s v="HST0238"/>
    <s v="Sunrise Hostel"/>
    <x v="1"/>
    <n v="3.9"/>
    <s v="3-in-a-room"/>
    <s v="Female"/>
    <n v="3000"/>
    <n v="12"/>
    <n v="36"/>
    <n v="13"/>
    <n v="36.1"/>
    <s v="Yes"/>
    <s v="No"/>
    <s v="No"/>
    <s v="Yes"/>
    <s v="No"/>
    <x v="2"/>
    <d v="2025-11-11T00:00:00"/>
    <n v="3.5"/>
    <n v="4"/>
    <s v="Hostel Verification Team"/>
  </r>
  <r>
    <s v="HST0239"/>
    <s v="Maple Court Hostel"/>
    <x v="7"/>
    <n v="5.7"/>
    <s v="2-in-a-room"/>
    <s v="Male"/>
    <n v="6500"/>
    <n v="9"/>
    <n v="18"/>
    <n v="9"/>
    <n v="50"/>
    <s v="Yes"/>
    <s v="Yes"/>
    <s v="No"/>
    <s v="Yes"/>
    <s v="Yes"/>
    <x v="0"/>
    <d v="2025-08-27T00:00:00"/>
    <n v="3.5"/>
    <n v="3"/>
    <s v="Hostel Verification Team"/>
  </r>
  <r>
    <s v="HST0240"/>
    <s v="Comfort Zone Hostel"/>
    <x v="3"/>
    <n v="5.8"/>
    <s v="Single"/>
    <s v="Mixed"/>
    <n v="10250"/>
    <n v="11"/>
    <n v="11"/>
    <n v="4"/>
    <n v="36.4"/>
    <s v="No"/>
    <s v="No"/>
    <s v="Yes"/>
    <s v="Yes"/>
    <s v="Yes"/>
    <x v="0"/>
    <d v="2025-01-30T00:00:00"/>
    <n v="4.5999999999999996"/>
    <n v="3"/>
    <s v="Hostel Verification Team"/>
  </r>
  <r>
    <s v="HST0241"/>
    <s v="Blue Sky Hostel"/>
    <x v="6"/>
    <n v="5.3"/>
    <s v="2-in-a-room"/>
    <s v="Male"/>
    <n v="3500"/>
    <n v="27"/>
    <n v="54"/>
    <n v="44"/>
    <n v="81.5"/>
    <s v="Yes"/>
    <s v="Yes"/>
    <s v="Yes"/>
    <s v="Yes"/>
    <s v="Yes"/>
    <x v="1"/>
    <d v="2025-04-23T00:00:00"/>
    <n v="4.2"/>
    <n v="9"/>
    <s v="Hostel Verification Team"/>
  </r>
  <r>
    <s v="HST0242"/>
    <s v="Hilltop Hostel"/>
    <x v="5"/>
    <n v="5.9"/>
    <s v="2-in-a-room"/>
    <s v="Male"/>
    <n v="6250"/>
    <n v="34"/>
    <n v="68"/>
    <n v="41"/>
    <n v="60.3"/>
    <s v="No"/>
    <s v="Yes"/>
    <s v="Yes"/>
    <s v="Yes"/>
    <s v="No"/>
    <x v="0"/>
    <d v="2025-06-23T00:00:00"/>
    <n v="4.2"/>
    <n v="7"/>
    <s v="Hostel Verification Team"/>
  </r>
  <r>
    <s v="HST0243"/>
    <s v="Campus View Hostel"/>
    <x v="2"/>
    <n v="6.8"/>
    <s v="4-in-a-room"/>
    <s v="Male"/>
    <n v="2300"/>
    <n v="13"/>
    <n v="52"/>
    <n v="50"/>
    <n v="96.2"/>
    <s v="Yes"/>
    <s v="No"/>
    <s v="No"/>
    <s v="Yes"/>
    <s v="Yes"/>
    <x v="0"/>
    <d v="2025-03-27T00:00:00"/>
    <n v="4"/>
    <n v="9"/>
    <s v="Hostel Verification Team"/>
  </r>
  <r>
    <s v="HST0244"/>
    <s v="Green Valley Hostel"/>
    <x v="3"/>
    <n v="2.8"/>
    <s v="3-in-a-room"/>
    <s v="Female"/>
    <n v="4000"/>
    <n v="15"/>
    <n v="45"/>
    <n v="18"/>
    <n v="40"/>
    <s v="Yes"/>
    <s v="Yes"/>
    <s v="No"/>
    <s v="Yes"/>
    <s v="Yes"/>
    <x v="0"/>
    <d v="2025-02-25T00:00:00"/>
    <n v="4.2"/>
    <n v="11"/>
    <s v="Hostel Verification Team"/>
  </r>
  <r>
    <s v="HST0245"/>
    <s v="Hilltop Hostel"/>
    <x v="3"/>
    <n v="6.6"/>
    <s v="Single"/>
    <s v="Male"/>
    <n v="8250"/>
    <n v="29"/>
    <n v="29"/>
    <n v="15"/>
    <n v="51.7"/>
    <s v="Yes"/>
    <s v="No"/>
    <s v="Yes"/>
    <s v="No"/>
    <s v="No"/>
    <x v="2"/>
    <d v="2025-05-06T00:00:00"/>
    <n v="4.2"/>
    <n v="15"/>
    <s v="Hostel Verification Team"/>
  </r>
  <r>
    <s v="HST0246"/>
    <s v="Sunrise Hostel"/>
    <x v="4"/>
    <n v="5.3"/>
    <s v="Single"/>
    <s v="Mixed"/>
    <n v="6750"/>
    <n v="14"/>
    <n v="14"/>
    <n v="10"/>
    <n v="71.400000000000006"/>
    <s v="No"/>
    <s v="Yes"/>
    <s v="No"/>
    <s v="No"/>
    <s v="Yes"/>
    <x v="2"/>
    <d v="2026-05-19T00:00:00"/>
    <n v="3.2"/>
    <n v="0"/>
    <s v="Hostel Verification Team"/>
  </r>
  <r>
    <s v="HST0247"/>
    <s v="Ocean Breeze Hostel"/>
    <x v="6"/>
    <n v="6.9"/>
    <s v="Single"/>
    <s v="Male"/>
    <n v="8750"/>
    <n v="36"/>
    <n v="36"/>
    <n v="13"/>
    <n v="36.1"/>
    <s v="Yes"/>
    <s v="Yes"/>
    <s v="Yes"/>
    <s v="Yes"/>
    <s v="Yes"/>
    <x v="1"/>
    <d v="2025-03-15T00:00:00"/>
    <n v="3.2"/>
    <n v="16"/>
    <s v="Hostel Verification Team"/>
  </r>
  <r>
    <s v="HST0248"/>
    <s v="Kings Court Hostel"/>
    <x v="5"/>
    <n v="3.7"/>
    <s v="4-in-a-room"/>
    <s v="Male"/>
    <n v="2300"/>
    <n v="43"/>
    <n v="172"/>
    <n v="138"/>
    <n v="80.2"/>
    <s v="No"/>
    <s v="No"/>
    <s v="No"/>
    <s v="Yes"/>
    <s v="Yes"/>
    <x v="2"/>
    <d v="2025-03-06T00:00:00"/>
    <n v="3.9"/>
    <n v="5"/>
    <s v="Hostel Verification Team"/>
  </r>
  <r>
    <s v="HST0249"/>
    <s v="Maple Court Hostel"/>
    <x v="7"/>
    <n v="2"/>
    <s v="3-in-a-room"/>
    <s v="Female"/>
    <n v="2500"/>
    <n v="40"/>
    <n v="120"/>
    <n v="70"/>
    <n v="58.3"/>
    <s v="No"/>
    <s v="No"/>
    <s v="Yes"/>
    <s v="No"/>
    <s v="Yes"/>
    <x v="2"/>
    <d v="2026-02-01T00:00:00"/>
    <n v="3"/>
    <n v="18"/>
    <s v="Hostel Verification Team"/>
  </r>
  <r>
    <s v="HST0250"/>
    <s v="New Era Hostel"/>
    <x v="2"/>
    <n v="7.4"/>
    <s v="Single"/>
    <s v="Female"/>
    <n v="6250"/>
    <n v="33"/>
    <n v="33"/>
    <n v="24"/>
    <n v="72.7"/>
    <s v="Yes"/>
    <s v="Yes"/>
    <s v="No"/>
    <s v="Yes"/>
    <s v="Yes"/>
    <x v="0"/>
    <d v="2025-02-15T00:00:00"/>
    <n v="4.3"/>
    <n v="14"/>
    <s v="Hostel Verification Team"/>
  </r>
  <r>
    <s v="HST0251"/>
    <s v="Starlight Hostel"/>
    <x v="0"/>
    <n v="6.2"/>
    <s v="4-in-a-room"/>
    <s v="Female"/>
    <n v="3050"/>
    <n v="43"/>
    <n v="172"/>
    <n v="158"/>
    <n v="91.9"/>
    <s v="Yes"/>
    <s v="Yes"/>
    <s v="Yes"/>
    <s v="Yes"/>
    <s v="No"/>
    <x v="0"/>
    <d v="2026-05-09T00:00:00"/>
    <n v="3.4"/>
    <n v="0"/>
    <s v="Hostel Verification Team"/>
  </r>
  <r>
    <s v="HST0252"/>
    <s v="Prime Scholars Hostel"/>
    <x v="7"/>
    <n v="5.3"/>
    <s v="Single"/>
    <s v="Female"/>
    <n v="6750"/>
    <n v="39"/>
    <n v="39"/>
    <n v="17"/>
    <n v="43.6"/>
    <s v="Yes"/>
    <s v="Yes"/>
    <s v="No"/>
    <s v="Yes"/>
    <s v="Yes"/>
    <x v="0"/>
    <d v="2026-03-05T00:00:00"/>
    <n v="4.9000000000000004"/>
    <n v="3"/>
    <s v="Hostel Verification Team"/>
  </r>
  <r>
    <s v="HST0253"/>
    <s v="Peace Haven Hostel"/>
    <x v="6"/>
    <n v="6.2"/>
    <s v="2-in-a-room"/>
    <s v="Female"/>
    <n v="6000"/>
    <n v="14"/>
    <n v="28"/>
    <n v="22"/>
    <n v="78.599999999999994"/>
    <s v="Yes"/>
    <s v="No"/>
    <s v="Yes"/>
    <s v="Yes"/>
    <s v="No"/>
    <x v="0"/>
    <d v="2025-02-26T00:00:00"/>
    <n v="3.8"/>
    <n v="0"/>
    <s v="Hostel Verification Team"/>
  </r>
  <r>
    <s v="HST0254"/>
    <s v="Garden City Hostel"/>
    <x v="6"/>
    <n v="6.9"/>
    <s v="2-in-a-room"/>
    <s v="Female"/>
    <n v="4750"/>
    <n v="16"/>
    <n v="32"/>
    <n v="14"/>
    <n v="43.8"/>
    <s v="Yes"/>
    <s v="Yes"/>
    <s v="Yes"/>
    <s v="Yes"/>
    <s v="No"/>
    <x v="0"/>
    <d v="2026-02-10T00:00:00"/>
    <n v="4"/>
    <n v="12"/>
    <s v="Hostel Verification Team"/>
  </r>
  <r>
    <s v="HST0255"/>
    <s v="Scholar's Lodge"/>
    <x v="6"/>
    <n v="6.1"/>
    <s v="2-in-a-room"/>
    <s v="Mixed"/>
    <n v="6750"/>
    <n v="40"/>
    <n v="80"/>
    <n v="47"/>
    <n v="58.8"/>
    <s v="Yes"/>
    <s v="Yes"/>
    <s v="Yes"/>
    <s v="Yes"/>
    <s v="Yes"/>
    <x v="1"/>
    <d v="2026-07-24T00:00:00"/>
    <n v="4.3"/>
    <n v="11"/>
    <s v="Hostel Verification Team"/>
  </r>
  <r>
    <s v="HST0256"/>
    <s v="University Heights Hostel"/>
    <x v="7"/>
    <n v="5.4"/>
    <s v="3-in-a-room"/>
    <s v="Male"/>
    <n v="4500"/>
    <n v="38"/>
    <n v="114"/>
    <n v="113"/>
    <n v="99.1"/>
    <s v="Yes"/>
    <s v="Yes"/>
    <s v="Yes"/>
    <s v="Yes"/>
    <s v="No"/>
    <x v="0"/>
    <d v="2026-03-13T00:00:00"/>
    <n v="3.9"/>
    <n v="12"/>
    <s v="Hostel Verification Team"/>
  </r>
  <r>
    <s v="HST0257"/>
    <s v="Green Valley Hostel"/>
    <x v="0"/>
    <n v="1.7"/>
    <s v="2-in-a-room"/>
    <s v="Mixed"/>
    <n v="5750"/>
    <n v="24"/>
    <n v="48"/>
    <n v="25"/>
    <n v="52.1"/>
    <s v="Yes"/>
    <s v="Yes"/>
    <s v="No"/>
    <s v="Yes"/>
    <s v="Yes"/>
    <x v="0"/>
    <d v="2025-03-14T00:00:00"/>
    <n v="4.9000000000000004"/>
    <n v="14"/>
    <s v="Hostel Verification Team"/>
  </r>
  <r>
    <s v="HST0258"/>
    <s v="Prime Scholars Hostel"/>
    <x v="5"/>
    <n v="5.6"/>
    <s v="4-in-a-room"/>
    <s v="Male"/>
    <n v="2550"/>
    <n v="40"/>
    <n v="160"/>
    <n v="156"/>
    <n v="97.5"/>
    <s v="No"/>
    <s v="Yes"/>
    <s v="Yes"/>
    <s v="Yes"/>
    <s v="No"/>
    <x v="0"/>
    <d v="2025-10-31T00:00:00"/>
    <n v="4.7"/>
    <n v="17"/>
    <s v="Hostel Verification Team"/>
  </r>
  <r>
    <s v="HST0259"/>
    <s v="Campus View Hostel"/>
    <x v="3"/>
    <n v="1.7"/>
    <s v="4-in-a-room"/>
    <s v="Mixed"/>
    <n v="2550"/>
    <n v="31"/>
    <n v="124"/>
    <n v="118"/>
    <n v="95.2"/>
    <s v="No"/>
    <s v="Yes"/>
    <s v="Yes"/>
    <s v="Yes"/>
    <s v="Yes"/>
    <x v="0"/>
    <d v="2026-07-23T00:00:00"/>
    <n v="4.0999999999999996"/>
    <n v="2"/>
    <s v="Hostel Verification Team"/>
  </r>
  <r>
    <s v="HST0260"/>
    <s v="Sunrise Hostel"/>
    <x v="1"/>
    <n v="0.5"/>
    <s v="3-in-a-room"/>
    <s v="Male"/>
    <n v="4500"/>
    <n v="24"/>
    <n v="72"/>
    <n v="33"/>
    <n v="45.8"/>
    <s v="No"/>
    <s v="Yes"/>
    <s v="Yes"/>
    <s v="Yes"/>
    <s v="Yes"/>
    <x v="0"/>
    <d v="2025-06-23T00:00:00"/>
    <n v="4.3"/>
    <n v="1"/>
    <s v="Hostel Verification Team"/>
  </r>
  <r>
    <s v="HST0261"/>
    <s v="New Era Hostel"/>
    <x v="0"/>
    <n v="5.8"/>
    <s v="3-in-a-room"/>
    <s v="Female"/>
    <n v="4250"/>
    <n v="44"/>
    <n v="132"/>
    <n v="116"/>
    <n v="87.9"/>
    <s v="Yes"/>
    <s v="Yes"/>
    <s v="No"/>
    <s v="Yes"/>
    <s v="Yes"/>
    <x v="0"/>
    <d v="2026-01-11T00:00:00"/>
    <n v="4.5999999999999996"/>
    <n v="16"/>
    <s v="Hostel Verification Team"/>
  </r>
  <r>
    <s v="HST0262"/>
    <s v="Prime Scholars Hostel"/>
    <x v="1"/>
    <n v="0.9"/>
    <s v="2-in-a-room"/>
    <s v="Mixed"/>
    <n v="5000"/>
    <n v="29"/>
    <n v="58"/>
    <n v="41"/>
    <n v="70.7"/>
    <s v="No"/>
    <s v="Yes"/>
    <s v="No"/>
    <s v="Yes"/>
    <s v="Yes"/>
    <x v="0"/>
    <d v="2026-01-14T00:00:00"/>
    <n v="4.3"/>
    <n v="3"/>
    <s v="Hostel Verification Team"/>
  </r>
  <r>
    <s v="HST0263"/>
    <s v="Starlight Hostel"/>
    <x v="6"/>
    <n v="2"/>
    <s v="2-in-a-room"/>
    <s v="Mixed"/>
    <n v="3750"/>
    <n v="28"/>
    <n v="56"/>
    <n v="43"/>
    <n v="76.8"/>
    <s v="Yes"/>
    <s v="Yes"/>
    <s v="No"/>
    <s v="No"/>
    <s v="Yes"/>
    <x v="0"/>
    <d v="2025-05-06T00:00:00"/>
    <n v="4.2"/>
    <n v="16"/>
    <s v="Hostel Verification Team"/>
  </r>
  <r>
    <s v="HST0264"/>
    <s v="Eagle's Nest Hostel"/>
    <x v="6"/>
    <n v="0.5"/>
    <s v="2-in-a-room"/>
    <s v="Mixed"/>
    <n v="6000"/>
    <n v="40"/>
    <n v="80"/>
    <n v="33"/>
    <n v="41.2"/>
    <s v="Yes"/>
    <s v="Yes"/>
    <s v="No"/>
    <s v="Yes"/>
    <s v="Yes"/>
    <x v="0"/>
    <d v="2025-04-18T00:00:00"/>
    <n v="3.5"/>
    <n v="6"/>
    <s v="Hostel Verification Team"/>
  </r>
  <r>
    <s v="HST0265"/>
    <s v="Kings Court Hostel"/>
    <x v="2"/>
    <n v="1.7"/>
    <s v="4-in-a-room"/>
    <s v="Male"/>
    <n v="4300"/>
    <n v="12"/>
    <n v="48"/>
    <n v="25"/>
    <n v="52.1"/>
    <s v="Yes"/>
    <s v="Yes"/>
    <s v="Yes"/>
    <s v="No"/>
    <s v="Yes"/>
    <x v="0"/>
    <d v="2025-02-03T00:00:00"/>
    <n v="4.2"/>
    <n v="1"/>
    <s v="Hostel Verification Team"/>
  </r>
  <r>
    <s v="HST0266"/>
    <s v="Garden City Hostel"/>
    <x v="5"/>
    <n v="6.9"/>
    <s v="4-in-a-room"/>
    <s v="Male"/>
    <n v="3300"/>
    <n v="36"/>
    <n v="144"/>
    <n v="130"/>
    <n v="90.3"/>
    <s v="No"/>
    <s v="Yes"/>
    <s v="Yes"/>
    <s v="No"/>
    <s v="Yes"/>
    <x v="0"/>
    <d v="2026-02-28T00:00:00"/>
    <n v="4.4000000000000004"/>
    <n v="17"/>
    <s v="Hostel Verification Team"/>
  </r>
  <r>
    <s v="HST0267"/>
    <s v="Hilltop Hostel"/>
    <x v="2"/>
    <n v="5.7"/>
    <s v="Single"/>
    <s v="Female"/>
    <n v="11000"/>
    <n v="12"/>
    <n v="12"/>
    <n v="9"/>
    <n v="75"/>
    <s v="Yes"/>
    <s v="Yes"/>
    <s v="No"/>
    <s v="Yes"/>
    <s v="Yes"/>
    <x v="0"/>
    <d v="2026-06-08T00:00:00"/>
    <n v="4.0999999999999996"/>
    <n v="9"/>
    <s v="Hostel Verification Team"/>
  </r>
  <r>
    <s v="HST0268"/>
    <s v="Campus View Hostel"/>
    <x v="6"/>
    <n v="1.3"/>
    <s v="2-in-a-room"/>
    <s v="Mixed"/>
    <n v="4500"/>
    <n v="33"/>
    <n v="66"/>
    <n v="57"/>
    <n v="86.4"/>
    <s v="Yes"/>
    <s v="Yes"/>
    <s v="No"/>
    <s v="Yes"/>
    <s v="Yes"/>
    <x v="0"/>
    <d v="2025-11-08T00:00:00"/>
    <n v="3.4"/>
    <n v="17"/>
    <s v="Hostel Verification Team"/>
  </r>
  <r>
    <s v="HST0269"/>
    <s v="Ocean Breeze Hostel"/>
    <x v="2"/>
    <n v="0.5"/>
    <s v="4-in-a-room"/>
    <s v="Female"/>
    <n v="3800"/>
    <n v="43"/>
    <n v="172"/>
    <n v="70"/>
    <n v="40.700000000000003"/>
    <s v="No"/>
    <s v="Yes"/>
    <s v="Yes"/>
    <s v="Yes"/>
    <s v="Yes"/>
    <x v="0"/>
    <d v="2025-11-18T00:00:00"/>
    <n v="4.3"/>
    <n v="5"/>
    <s v="Hostel Verification Team"/>
  </r>
  <r>
    <s v="HST0270"/>
    <s v="Peace Haven Hostel"/>
    <x v="2"/>
    <n v="1.5"/>
    <s v="Single"/>
    <s v="Female"/>
    <n v="11500"/>
    <n v="43"/>
    <n v="43"/>
    <n v="29"/>
    <n v="67.400000000000006"/>
    <s v="Yes"/>
    <s v="Yes"/>
    <s v="Yes"/>
    <s v="Yes"/>
    <s v="Yes"/>
    <x v="1"/>
    <d v="2025-03-25T00:00:00"/>
    <n v="4.7"/>
    <n v="18"/>
    <s v="Hostel Verification Team"/>
  </r>
  <r>
    <s v="HST0271"/>
    <s v="New Era Hostel"/>
    <x v="7"/>
    <n v="1.1000000000000001"/>
    <s v="2-in-a-room"/>
    <s v="Female"/>
    <n v="4250"/>
    <n v="26"/>
    <n v="52"/>
    <n v="22"/>
    <n v="42.3"/>
    <s v="Yes"/>
    <s v="Yes"/>
    <s v="Yes"/>
    <s v="Yes"/>
    <s v="No"/>
    <x v="0"/>
    <d v="2025-07-27T00:00:00"/>
    <n v="4.4000000000000004"/>
    <n v="18"/>
    <s v="Hostel Verification Team"/>
  </r>
  <r>
    <s v="HST0272"/>
    <s v="Kings Court Hostel"/>
    <x v="4"/>
    <n v="0.2"/>
    <s v="2-in-a-room"/>
    <s v="Female"/>
    <n v="5250"/>
    <n v="35"/>
    <n v="70"/>
    <n v="41"/>
    <n v="58.6"/>
    <s v="No"/>
    <s v="No"/>
    <s v="Yes"/>
    <s v="Yes"/>
    <s v="Yes"/>
    <x v="0"/>
    <d v="2026-01-13T00:00:00"/>
    <n v="4.5999999999999996"/>
    <n v="11"/>
    <s v="Hostel Verification Team"/>
  </r>
  <r>
    <s v="HST0273"/>
    <s v="Maple Court Hostel"/>
    <x v="2"/>
    <n v="1.5"/>
    <s v="Single"/>
    <s v="Mixed"/>
    <n v="12000"/>
    <n v="25"/>
    <n v="25"/>
    <n v="12"/>
    <n v="48"/>
    <s v="Yes"/>
    <s v="Yes"/>
    <s v="No"/>
    <s v="Yes"/>
    <s v="Yes"/>
    <x v="0"/>
    <d v="2026-07-15T00:00:00"/>
    <n v="4.5"/>
    <n v="0"/>
    <s v="Hostel Verification Team"/>
  </r>
  <r>
    <s v="HST0274"/>
    <s v="Garden City Hostel"/>
    <x v="1"/>
    <n v="5.8"/>
    <s v="2-in-a-room"/>
    <s v="Mixed"/>
    <n v="3750"/>
    <n v="43"/>
    <n v="86"/>
    <n v="46"/>
    <n v="53.5"/>
    <s v="No"/>
    <s v="Yes"/>
    <s v="Yes"/>
    <s v="No"/>
    <s v="Yes"/>
    <x v="0"/>
    <d v="2026-07-20T00:00:00"/>
    <n v="3.4"/>
    <n v="18"/>
    <s v="Hostel Verification Team"/>
  </r>
  <r>
    <s v="HST0275"/>
    <s v="Scholar's Lodge"/>
    <x v="4"/>
    <n v="3.6"/>
    <s v="Single"/>
    <s v="Mixed"/>
    <n v="8500"/>
    <n v="31"/>
    <n v="31"/>
    <n v="26"/>
    <n v="83.9"/>
    <s v="Yes"/>
    <s v="No"/>
    <s v="No"/>
    <s v="Yes"/>
    <s v="Yes"/>
    <x v="0"/>
    <d v="2025-01-20T00:00:00"/>
    <n v="4.5999999999999996"/>
    <n v="5"/>
    <s v="Hostel Verification Team"/>
  </r>
  <r>
    <s v="HST0276"/>
    <s v="Ocean Breeze Hostel"/>
    <x v="6"/>
    <n v="7.1"/>
    <s v="Single"/>
    <s v="Female"/>
    <n v="7250"/>
    <n v="39"/>
    <n v="39"/>
    <n v="20"/>
    <n v="51.3"/>
    <s v="Yes"/>
    <s v="Yes"/>
    <s v="Yes"/>
    <s v="Yes"/>
    <s v="Yes"/>
    <x v="1"/>
    <d v="2025-03-15T00:00:00"/>
    <n v="5"/>
    <n v="16"/>
    <s v="Hostel Verification Team"/>
  </r>
  <r>
    <s v="HST0277"/>
    <s v="Comfort Zone Hostel"/>
    <x v="6"/>
    <n v="6.9"/>
    <s v="Single"/>
    <s v="Male"/>
    <n v="5750"/>
    <n v="28"/>
    <n v="28"/>
    <n v="12"/>
    <n v="42.9"/>
    <s v="Yes"/>
    <s v="No"/>
    <s v="No"/>
    <s v="Yes"/>
    <s v="Yes"/>
    <x v="0"/>
    <d v="2026-06-27T00:00:00"/>
    <n v="3.5"/>
    <n v="12"/>
    <s v="Hostel Verification Team"/>
  </r>
  <r>
    <s v="HST0278"/>
    <s v="Victory Hostel"/>
    <x v="3"/>
    <n v="2.9"/>
    <s v="2-in-a-room"/>
    <s v="Male"/>
    <n v="7500"/>
    <n v="33"/>
    <n v="66"/>
    <n v="45"/>
    <n v="68.2"/>
    <s v="Yes"/>
    <s v="Yes"/>
    <s v="No"/>
    <s v="No"/>
    <s v="No"/>
    <x v="2"/>
    <d v="2025-12-29T00:00:00"/>
    <n v="4.5999999999999996"/>
    <n v="14"/>
    <s v="Hostel Verification Team"/>
  </r>
  <r>
    <s v="HST0279"/>
    <s v="Golden Gate Hostel"/>
    <x v="2"/>
    <n v="4"/>
    <s v="3-in-a-room"/>
    <s v="Female"/>
    <n v="3250"/>
    <n v="17"/>
    <n v="51"/>
    <n v="28"/>
    <n v="54.9"/>
    <s v="Yes"/>
    <s v="No"/>
    <s v="No"/>
    <s v="Yes"/>
    <s v="Yes"/>
    <x v="0"/>
    <d v="2025-06-20T00:00:00"/>
    <n v="3.9"/>
    <n v="10"/>
    <s v="Hostel Verification Team"/>
  </r>
  <r>
    <s v="HST0280"/>
    <s v="Maple Court Hostel"/>
    <x v="5"/>
    <n v="4.5"/>
    <s v="4-in-a-room"/>
    <s v="Male"/>
    <n v="1800"/>
    <n v="23"/>
    <n v="92"/>
    <n v="34"/>
    <n v="37"/>
    <s v="Yes"/>
    <s v="Yes"/>
    <s v="No"/>
    <s v="Yes"/>
    <s v="Yes"/>
    <x v="0"/>
    <d v="2025-05-20T00:00:00"/>
    <n v="3.4"/>
    <n v="1"/>
    <s v="Hostel Verification Team"/>
  </r>
  <r>
    <s v="HST0281"/>
    <s v="Blue Sky Hostel"/>
    <x v="4"/>
    <n v="4"/>
    <s v="4-in-a-room"/>
    <s v="Mixed"/>
    <n v="4050"/>
    <n v="44"/>
    <n v="176"/>
    <n v="142"/>
    <n v="80.7"/>
    <s v="No"/>
    <s v="No"/>
    <s v="Yes"/>
    <s v="Yes"/>
    <s v="Yes"/>
    <x v="0"/>
    <d v="2025-01-29T00:00:00"/>
    <n v="4.5"/>
    <n v="15"/>
    <s v="Hostel Verification Team"/>
  </r>
  <r>
    <s v="HST0282"/>
    <s v="Ocean Breeze Hostel"/>
    <x v="4"/>
    <n v="4.7"/>
    <s v="3-in-a-room"/>
    <s v="Male"/>
    <n v="3000"/>
    <n v="29"/>
    <n v="87"/>
    <n v="59"/>
    <n v="67.8"/>
    <s v="Yes"/>
    <s v="Yes"/>
    <s v="Yes"/>
    <s v="Yes"/>
    <s v="No"/>
    <x v="0"/>
    <d v="2025-03-21T00:00:00"/>
    <n v="4.9000000000000004"/>
    <n v="0"/>
    <s v="Hostel Verification Team"/>
  </r>
  <r>
    <s v="HST0283"/>
    <s v="Victory Hostel"/>
    <x v="1"/>
    <n v="6.2"/>
    <s v="Single"/>
    <s v="Male"/>
    <n v="6750"/>
    <n v="38"/>
    <n v="38"/>
    <n v="32"/>
    <n v="84.2"/>
    <s v="Yes"/>
    <s v="Yes"/>
    <s v="Yes"/>
    <s v="Yes"/>
    <s v="Yes"/>
    <x v="1"/>
    <d v="2025-02-18T00:00:00"/>
    <n v="3.5"/>
    <n v="13"/>
    <s v="Hostel Verification Team"/>
  </r>
  <r>
    <s v="HST0284"/>
    <s v="Victory Hostel"/>
    <x v="1"/>
    <n v="1.9"/>
    <s v="4-in-a-room"/>
    <s v="Female"/>
    <n v="3300"/>
    <n v="30"/>
    <n v="120"/>
    <n v="117"/>
    <n v="97.5"/>
    <s v="No"/>
    <s v="Yes"/>
    <s v="Yes"/>
    <s v="No"/>
    <s v="Yes"/>
    <x v="0"/>
    <d v="2025-04-20T00:00:00"/>
    <n v="3.9"/>
    <n v="2"/>
    <s v="Hostel Verification Team"/>
  </r>
  <r>
    <s v="HST0285"/>
    <s v="Hilltop Hostel"/>
    <x v="1"/>
    <n v="2.1"/>
    <s v="Single"/>
    <s v="Mixed"/>
    <n v="11000"/>
    <n v="8"/>
    <n v="8"/>
    <n v="6"/>
    <n v="75"/>
    <s v="Yes"/>
    <s v="Yes"/>
    <s v="Yes"/>
    <s v="Yes"/>
    <s v="Yes"/>
    <x v="1"/>
    <d v="2026-06-29T00:00:00"/>
    <n v="3.8"/>
    <n v="13"/>
    <s v="Hostel Verification Team"/>
  </r>
  <r>
    <s v="HST0286"/>
    <s v="Garden City Hostel"/>
    <x v="3"/>
    <n v="2.1"/>
    <s v="4-in-a-room"/>
    <s v="Mixed"/>
    <n v="4050"/>
    <n v="31"/>
    <n v="124"/>
    <n v="121"/>
    <n v="97.6"/>
    <s v="No"/>
    <s v="Yes"/>
    <s v="Yes"/>
    <s v="No"/>
    <s v="Yes"/>
    <x v="0"/>
    <d v="2025-10-19T00:00:00"/>
    <n v="4.2"/>
    <n v="11"/>
    <s v="Hostel Verification Team"/>
  </r>
  <r>
    <s v="HST0287"/>
    <s v="Prime Scholars Hostel"/>
    <x v="6"/>
    <n v="2.1"/>
    <s v="3-in-a-room"/>
    <s v="Female"/>
    <n v="4750"/>
    <n v="30"/>
    <n v="90"/>
    <n v="80"/>
    <n v="88.9"/>
    <s v="Yes"/>
    <s v="No"/>
    <s v="No"/>
    <s v="Yes"/>
    <s v="Yes"/>
    <x v="0"/>
    <d v="2026-02-21T00:00:00"/>
    <n v="4.5"/>
    <n v="5"/>
    <s v="Hostel Verification Team"/>
  </r>
  <r>
    <s v="HST0288"/>
    <s v="Prime Scholars Hostel"/>
    <x v="0"/>
    <n v="1.4"/>
    <s v="Single"/>
    <s v="Male"/>
    <n v="11750"/>
    <n v="13"/>
    <n v="13"/>
    <n v="6"/>
    <n v="46.2"/>
    <s v="Yes"/>
    <s v="Yes"/>
    <s v="Yes"/>
    <s v="No"/>
    <s v="Yes"/>
    <x v="0"/>
    <d v="2026-05-07T00:00:00"/>
    <n v="4.4000000000000004"/>
    <n v="11"/>
    <s v="Hostel Verification Team"/>
  </r>
  <r>
    <s v="HST0289"/>
    <s v="Hilltop Hostel"/>
    <x v="0"/>
    <n v="5.5"/>
    <s v="4-in-a-room"/>
    <s v="Mixed"/>
    <n v="4050"/>
    <n v="41"/>
    <n v="164"/>
    <n v="93"/>
    <n v="56.7"/>
    <s v="Yes"/>
    <s v="Yes"/>
    <s v="Yes"/>
    <s v="Yes"/>
    <s v="No"/>
    <x v="0"/>
    <d v="2025-03-09T00:00:00"/>
    <n v="4"/>
    <n v="16"/>
    <s v="Hostel Verification Team"/>
  </r>
  <r>
    <s v="HST0290"/>
    <s v="Victory Hostel"/>
    <x v="5"/>
    <n v="4.7"/>
    <s v="Single"/>
    <s v="Mixed"/>
    <n v="8250"/>
    <n v="23"/>
    <n v="23"/>
    <n v="8"/>
    <n v="34.799999999999997"/>
    <s v="Yes"/>
    <s v="No"/>
    <s v="Yes"/>
    <s v="Yes"/>
    <s v="Yes"/>
    <x v="0"/>
    <d v="2025-06-20T00:00:00"/>
    <n v="4.0999999999999996"/>
    <n v="12"/>
    <s v="Hostel Verification Team"/>
  </r>
  <r>
    <s v="HST0291"/>
    <s v="Peace Haven Hostel"/>
    <x v="0"/>
    <n v="5.6"/>
    <s v="Single"/>
    <s v="Female"/>
    <n v="6000"/>
    <n v="43"/>
    <n v="43"/>
    <n v="24"/>
    <n v="55.8"/>
    <s v="Yes"/>
    <s v="No"/>
    <s v="Yes"/>
    <s v="Yes"/>
    <s v="Yes"/>
    <x v="0"/>
    <d v="2026-01-01T00:00:00"/>
    <n v="3.6"/>
    <n v="12"/>
    <s v="Hostel Verification Team"/>
  </r>
  <r>
    <s v="HST0292"/>
    <s v="Victory Hostel"/>
    <x v="2"/>
    <n v="4.3"/>
    <s v="3-in-a-room"/>
    <s v="Female"/>
    <n v="3750"/>
    <n v="15"/>
    <n v="45"/>
    <n v="40"/>
    <n v="88.9"/>
    <s v="No"/>
    <s v="No"/>
    <s v="No"/>
    <s v="Yes"/>
    <s v="Yes"/>
    <x v="2"/>
    <d v="2026-06-19T00:00:00"/>
    <n v="3.8"/>
    <n v="18"/>
    <s v="Hostel Verification Team"/>
  </r>
  <r>
    <s v="HST0293"/>
    <s v="Golden Gate Hostel"/>
    <x v="7"/>
    <n v="7.2"/>
    <s v="4-in-a-room"/>
    <s v="Female"/>
    <n v="4300"/>
    <n v="37"/>
    <n v="148"/>
    <n v="126"/>
    <n v="85.1"/>
    <s v="Yes"/>
    <s v="No"/>
    <s v="Yes"/>
    <s v="No"/>
    <s v="Yes"/>
    <x v="0"/>
    <d v="2025-02-07T00:00:00"/>
    <n v="3.8"/>
    <n v="7"/>
    <s v="Hostel Verification Team"/>
  </r>
  <r>
    <s v="HST0294"/>
    <s v="Kings Court Hostel"/>
    <x v="7"/>
    <n v="4"/>
    <s v="Single"/>
    <s v="Male"/>
    <n v="11000"/>
    <n v="24"/>
    <n v="24"/>
    <n v="15"/>
    <n v="62.5"/>
    <s v="Yes"/>
    <s v="Yes"/>
    <s v="No"/>
    <s v="Yes"/>
    <s v="No"/>
    <x v="0"/>
    <d v="2025-10-31T00:00:00"/>
    <n v="3.6"/>
    <n v="17"/>
    <s v="Hostel Verification Team"/>
  </r>
  <r>
    <s v="HST0295"/>
    <s v="Maple Court Hostel"/>
    <x v="7"/>
    <n v="2.8"/>
    <s v="3-in-a-room"/>
    <s v="Female"/>
    <n v="3000"/>
    <n v="20"/>
    <n v="60"/>
    <n v="52"/>
    <n v="86.7"/>
    <s v="Yes"/>
    <s v="Yes"/>
    <s v="Yes"/>
    <s v="Yes"/>
    <s v="Yes"/>
    <x v="1"/>
    <d v="2025-08-02T00:00:00"/>
    <n v="4.5"/>
    <n v="6"/>
    <s v="Hostel Verification Team"/>
  </r>
  <r>
    <s v="HST0296"/>
    <s v="Ocean Breeze Hostel"/>
    <x v="2"/>
    <n v="1.1000000000000001"/>
    <s v="Single"/>
    <s v="Female"/>
    <n v="10750"/>
    <n v="39"/>
    <n v="39"/>
    <n v="32"/>
    <n v="82.1"/>
    <s v="Yes"/>
    <s v="No"/>
    <s v="Yes"/>
    <s v="Yes"/>
    <s v="No"/>
    <x v="0"/>
    <d v="2025-01-16T00:00:00"/>
    <n v="3.1"/>
    <n v="18"/>
    <s v="Hostel Verification Team"/>
  </r>
  <r>
    <s v="HST0297"/>
    <s v="Maple Court Hostel"/>
    <x v="4"/>
    <n v="7.4"/>
    <s v="3-in-a-room"/>
    <s v="Female"/>
    <n v="4000"/>
    <n v="22"/>
    <n v="66"/>
    <n v="59"/>
    <n v="89.4"/>
    <s v="Yes"/>
    <s v="Yes"/>
    <s v="Yes"/>
    <s v="Yes"/>
    <s v="No"/>
    <x v="0"/>
    <d v="2025-05-21T00:00:00"/>
    <n v="4.5999999999999996"/>
    <n v="12"/>
    <s v="Hostel Verification Team"/>
  </r>
  <r>
    <s v="HST0298"/>
    <s v="Sunrise Hostel"/>
    <x v="6"/>
    <n v="2.5"/>
    <s v="Single"/>
    <s v="Female"/>
    <n v="5500"/>
    <n v="21"/>
    <n v="21"/>
    <n v="13"/>
    <n v="61.9"/>
    <s v="Yes"/>
    <s v="Yes"/>
    <s v="No"/>
    <s v="Yes"/>
    <s v="Yes"/>
    <x v="0"/>
    <d v="2025-04-23T00:00:00"/>
    <n v="3.3"/>
    <n v="17"/>
    <s v="Hostel Verification Team"/>
  </r>
  <r>
    <s v="HST0299"/>
    <s v="Golden Gate Hostel"/>
    <x v="3"/>
    <n v="3.6"/>
    <s v="3-in-a-room"/>
    <s v="Male"/>
    <n v="3750"/>
    <n v="19"/>
    <n v="57"/>
    <n v="50"/>
    <n v="87.7"/>
    <s v="Yes"/>
    <s v="Yes"/>
    <s v="No"/>
    <s v="Yes"/>
    <s v="No"/>
    <x v="0"/>
    <d v="2026-03-20T00:00:00"/>
    <n v="3.9"/>
    <n v="12"/>
    <s v="Hostel Verification Team"/>
  </r>
  <r>
    <s v="HST0300"/>
    <s v="Garden City Hostel"/>
    <x v="5"/>
    <n v="6.1"/>
    <s v="3-in-a-room"/>
    <s v="Male"/>
    <n v="5500"/>
    <n v="23"/>
    <n v="69"/>
    <n v="59"/>
    <n v="85.5"/>
    <s v="Yes"/>
    <s v="No"/>
    <s v="Yes"/>
    <s v="No"/>
    <s v="Yes"/>
    <x v="0"/>
    <d v="2026-03-28T00:00:00"/>
    <n v="4.3"/>
    <n v="0"/>
    <s v="Hostel Verification Team"/>
  </r>
  <r>
    <s v="HST0301"/>
    <s v="Kings Court Hostel"/>
    <x v="6"/>
    <n v="1.2"/>
    <s v="3-in-a-room"/>
    <s v="Mixed"/>
    <n v="5500"/>
    <n v="39"/>
    <n v="117"/>
    <n v="78"/>
    <n v="66.7"/>
    <s v="Yes"/>
    <s v="Yes"/>
    <s v="Yes"/>
    <s v="Yes"/>
    <s v="No"/>
    <x v="0"/>
    <d v="2025-09-23T00:00:00"/>
    <n v="4.2"/>
    <n v="6"/>
    <s v="Hostel Verification Team"/>
  </r>
  <r>
    <s v="HST0302"/>
    <s v="Sunrise Hostel"/>
    <x v="6"/>
    <n v="5.6"/>
    <s v="3-in-a-room"/>
    <s v="Mixed"/>
    <n v="3750"/>
    <n v="31"/>
    <n v="93"/>
    <n v="67"/>
    <n v="72"/>
    <s v="Yes"/>
    <s v="Yes"/>
    <s v="Yes"/>
    <s v="Yes"/>
    <s v="Yes"/>
    <x v="1"/>
    <d v="2025-09-30T00:00:00"/>
    <n v="3.4"/>
    <n v="6"/>
    <s v="Hostel Verification Team"/>
  </r>
  <r>
    <s v="HST0303"/>
    <s v="Garden City Hostel"/>
    <x v="4"/>
    <n v="7.3"/>
    <s v="3-in-a-room"/>
    <s v="Male"/>
    <n v="3750"/>
    <n v="28"/>
    <n v="84"/>
    <n v="72"/>
    <n v="85.7"/>
    <s v="No"/>
    <s v="Yes"/>
    <s v="Yes"/>
    <s v="No"/>
    <s v="No"/>
    <x v="2"/>
    <d v="2026-06-16T00:00:00"/>
    <n v="3.8"/>
    <n v="14"/>
    <s v="Hostel Verification Team"/>
  </r>
  <r>
    <s v="HST0304"/>
    <s v="New Era Hostel"/>
    <x v="1"/>
    <n v="4.8"/>
    <s v="4-in-a-room"/>
    <s v="Female"/>
    <n v="2050"/>
    <n v="13"/>
    <n v="52"/>
    <n v="28"/>
    <n v="53.8"/>
    <s v="Yes"/>
    <s v="Yes"/>
    <s v="Yes"/>
    <s v="Yes"/>
    <s v="Yes"/>
    <x v="1"/>
    <d v="2025-12-27T00:00:00"/>
    <n v="3.8"/>
    <n v="12"/>
    <s v="Hostel Verification Team"/>
  </r>
  <r>
    <s v="HST0305"/>
    <s v="Eagle's Nest Hostel"/>
    <x v="7"/>
    <n v="5.7"/>
    <s v="4-in-a-room"/>
    <s v="Male"/>
    <n v="3300"/>
    <n v="18"/>
    <n v="72"/>
    <n v="36"/>
    <n v="50"/>
    <s v="Yes"/>
    <s v="Yes"/>
    <s v="No"/>
    <s v="Yes"/>
    <s v="Yes"/>
    <x v="0"/>
    <d v="2025-02-02T00:00:00"/>
    <n v="4.0999999999999996"/>
    <n v="6"/>
    <s v="Hostel Verification Team"/>
  </r>
  <r>
    <s v="HST0306"/>
    <s v="Maple Court Hostel"/>
    <x v="0"/>
    <n v="0.4"/>
    <s v="4-in-a-room"/>
    <s v="Male"/>
    <n v="3800"/>
    <n v="13"/>
    <n v="52"/>
    <n v="24"/>
    <n v="46.2"/>
    <s v="No"/>
    <s v="Yes"/>
    <s v="No"/>
    <s v="Yes"/>
    <s v="Yes"/>
    <x v="0"/>
    <d v="2025-10-05T00:00:00"/>
    <n v="4.2"/>
    <n v="7"/>
    <s v="Hostel Verification Team"/>
  </r>
  <r>
    <s v="HST0307"/>
    <s v="Scholar's Lodge"/>
    <x v="6"/>
    <n v="4.8"/>
    <s v="2-in-a-room"/>
    <s v="Mixed"/>
    <n v="7500"/>
    <n v="18"/>
    <n v="36"/>
    <n v="12"/>
    <n v="33.299999999999997"/>
    <s v="No"/>
    <s v="Yes"/>
    <s v="Yes"/>
    <s v="Yes"/>
    <s v="Yes"/>
    <x v="0"/>
    <d v="2025-02-14T00:00:00"/>
    <n v="2.6"/>
    <n v="17"/>
    <s v="Hostel Verification Team"/>
  </r>
  <r>
    <s v="HST0308"/>
    <s v="Prime Scholars Hostel"/>
    <x v="4"/>
    <n v="4.5"/>
    <s v="4-in-a-room"/>
    <s v="Female"/>
    <n v="4300"/>
    <n v="44"/>
    <n v="176"/>
    <n v="116"/>
    <n v="65.900000000000006"/>
    <s v="Yes"/>
    <s v="Yes"/>
    <s v="Yes"/>
    <s v="Yes"/>
    <s v="Yes"/>
    <x v="1"/>
    <d v="2026-06-30T00:00:00"/>
    <n v="4.5"/>
    <n v="14"/>
    <s v="Hostel Verification Team"/>
  </r>
  <r>
    <s v="HST0309"/>
    <s v="Starlight Hostel"/>
    <x v="1"/>
    <n v="2.1"/>
    <s v="3-in-a-room"/>
    <s v="Female"/>
    <n v="2500"/>
    <n v="8"/>
    <n v="24"/>
    <n v="24"/>
    <n v="100"/>
    <s v="Yes"/>
    <s v="No"/>
    <s v="Yes"/>
    <s v="Yes"/>
    <s v="Yes"/>
    <x v="0"/>
    <d v="2025-05-29T00:00:00"/>
    <n v="3.7"/>
    <n v="15"/>
    <s v="Hostel Verification Team"/>
  </r>
  <r>
    <s v="HST0310"/>
    <s v="Hilltop Hostel"/>
    <x v="5"/>
    <n v="6"/>
    <s v="3-in-a-room"/>
    <s v="Female"/>
    <n v="3250"/>
    <n v="34"/>
    <n v="102"/>
    <n v="90"/>
    <n v="88.2"/>
    <s v="No"/>
    <s v="No"/>
    <s v="No"/>
    <s v="Yes"/>
    <s v="Yes"/>
    <x v="2"/>
    <d v="2026-02-18T00:00:00"/>
    <n v="4.9000000000000004"/>
    <n v="7"/>
    <s v="Hostel Verification Team"/>
  </r>
  <r>
    <s v="HST0311"/>
    <s v="Royal Palm Hostel"/>
    <x v="1"/>
    <n v="4.8"/>
    <s v="3-in-a-room"/>
    <s v="Female"/>
    <n v="3500"/>
    <n v="42"/>
    <n v="126"/>
    <n v="78"/>
    <n v="61.9"/>
    <s v="Yes"/>
    <s v="Yes"/>
    <s v="Yes"/>
    <s v="Yes"/>
    <s v="Yes"/>
    <x v="1"/>
    <d v="2026-03-08T00:00:00"/>
    <n v="3.5"/>
    <n v="3"/>
    <s v="Hostel Verification Team"/>
  </r>
  <r>
    <s v="HST0312"/>
    <s v="Hilltop Hostel"/>
    <x v="6"/>
    <n v="1.6"/>
    <s v="Single"/>
    <s v="Mixed"/>
    <n v="6500"/>
    <n v="11"/>
    <n v="11"/>
    <n v="11"/>
    <n v="100"/>
    <s v="Yes"/>
    <s v="Yes"/>
    <s v="Yes"/>
    <s v="Yes"/>
    <s v="Yes"/>
    <x v="1"/>
    <d v="2025-02-01T00:00:00"/>
    <n v="3.4"/>
    <n v="14"/>
    <s v="Hostel Verification Team"/>
  </r>
  <r>
    <s v="HST0313"/>
    <s v="Campus View Hostel"/>
    <x v="5"/>
    <n v="0.9"/>
    <s v="Single"/>
    <s v="Male"/>
    <n v="9250"/>
    <n v="21"/>
    <n v="21"/>
    <n v="12"/>
    <n v="57.1"/>
    <s v="No"/>
    <s v="Yes"/>
    <s v="Yes"/>
    <s v="Yes"/>
    <s v="No"/>
    <x v="0"/>
    <d v="2026-03-16T00:00:00"/>
    <n v="4.8"/>
    <n v="10"/>
    <s v="Hostel Verification Team"/>
  </r>
  <r>
    <s v="HST0314"/>
    <s v="Green Valley Hostel"/>
    <x v="3"/>
    <n v="5.9"/>
    <s v="Single"/>
    <s v="Female"/>
    <n v="9750"/>
    <n v="38"/>
    <n v="38"/>
    <n v="18"/>
    <n v="47.4"/>
    <s v="Yes"/>
    <s v="Yes"/>
    <s v="Yes"/>
    <s v="Yes"/>
    <s v="No"/>
    <x v="0"/>
    <d v="2025-07-25T00:00:00"/>
    <n v="4.4000000000000004"/>
    <n v="12"/>
    <s v="Hostel Verification Team"/>
  </r>
  <r>
    <s v="HST0315"/>
    <s v="Golden Gate Hostel"/>
    <x v="0"/>
    <n v="1.7"/>
    <s v="Single"/>
    <s v="Female"/>
    <n v="9500"/>
    <n v="21"/>
    <n v="21"/>
    <n v="14"/>
    <n v="66.7"/>
    <s v="Yes"/>
    <s v="Yes"/>
    <s v="Yes"/>
    <s v="Yes"/>
    <s v="Yes"/>
    <x v="1"/>
    <d v="2026-02-12T00:00:00"/>
    <n v="3.5"/>
    <n v="8"/>
    <s v="Hostel Verification Team"/>
  </r>
  <r>
    <s v="HST0316"/>
    <s v="Green Valley Hostel"/>
    <x v="5"/>
    <n v="7.3"/>
    <s v="2-in-a-room"/>
    <s v="Mixed"/>
    <n v="6750"/>
    <n v="28"/>
    <n v="56"/>
    <n v="19"/>
    <n v="33.9"/>
    <s v="Yes"/>
    <s v="Yes"/>
    <s v="Yes"/>
    <s v="Yes"/>
    <s v="Yes"/>
    <x v="1"/>
    <d v="2025-06-30T00:00:00"/>
    <n v="4.0999999999999996"/>
    <n v="1"/>
    <s v="Hostel Verification Team"/>
  </r>
  <r>
    <s v="HST0317"/>
    <s v="Maple Court Hostel"/>
    <x v="4"/>
    <n v="2.9"/>
    <s v="Single"/>
    <s v="Male"/>
    <n v="7250"/>
    <n v="18"/>
    <n v="18"/>
    <n v="13"/>
    <n v="72.2"/>
    <s v="Yes"/>
    <s v="Yes"/>
    <s v="Yes"/>
    <s v="Yes"/>
    <s v="Yes"/>
    <x v="1"/>
    <d v="2025-04-13T00:00:00"/>
    <n v="4.0999999999999996"/>
    <n v="17"/>
    <s v="Hostel Verification Team"/>
  </r>
  <r>
    <s v="HST0318"/>
    <s v="New Era Hostel"/>
    <x v="7"/>
    <n v="6.1"/>
    <s v="4-in-a-room"/>
    <s v="Mixed"/>
    <n v="4550"/>
    <n v="20"/>
    <n v="80"/>
    <n v="29"/>
    <n v="36.200000000000003"/>
    <s v="Yes"/>
    <s v="No"/>
    <s v="Yes"/>
    <s v="Yes"/>
    <s v="Yes"/>
    <x v="0"/>
    <d v="2026-01-31T00:00:00"/>
    <n v="3.7"/>
    <n v="14"/>
    <s v="Hostel Verification Team"/>
  </r>
  <r>
    <s v="HST0319"/>
    <s v="Scholar's Lodge"/>
    <x v="6"/>
    <n v="1.6"/>
    <s v="2-in-a-room"/>
    <s v="Female"/>
    <n v="6250"/>
    <n v="28"/>
    <n v="56"/>
    <n v="48"/>
    <n v="85.7"/>
    <s v="Yes"/>
    <s v="No"/>
    <s v="No"/>
    <s v="Yes"/>
    <s v="Yes"/>
    <x v="0"/>
    <d v="2025-10-18T00:00:00"/>
    <n v="4.3"/>
    <n v="9"/>
    <s v="Hostel Verification Team"/>
  </r>
  <r>
    <s v="HST0320"/>
    <s v="Campus View Hostel"/>
    <x v="1"/>
    <n v="5.6"/>
    <s v="Single"/>
    <s v="Mixed"/>
    <n v="10250"/>
    <n v="31"/>
    <n v="31"/>
    <n v="29"/>
    <n v="93.5"/>
    <s v="No"/>
    <s v="Yes"/>
    <s v="No"/>
    <s v="Yes"/>
    <s v="Yes"/>
    <x v="0"/>
    <d v="2025-09-11T00:00:00"/>
    <n v="3.4"/>
    <n v="16"/>
    <s v="Hostel Verification Team"/>
  </r>
  <r>
    <s v="HST0321"/>
    <s v="Maple Court Hostel"/>
    <x v="4"/>
    <n v="4.7"/>
    <s v="3-in-a-room"/>
    <s v="Male"/>
    <n v="4000"/>
    <n v="28"/>
    <n v="84"/>
    <n v="36"/>
    <n v="42.9"/>
    <s v="Yes"/>
    <s v="Yes"/>
    <s v="Yes"/>
    <s v="Yes"/>
    <s v="Yes"/>
    <x v="1"/>
    <d v="2025-04-18T00:00:00"/>
    <n v="4.3"/>
    <n v="6"/>
    <s v="Hostel Verification Team"/>
  </r>
  <r>
    <s v="HST0322"/>
    <s v="Garden City Hostel"/>
    <x v="1"/>
    <n v="5"/>
    <s v="3-in-a-room"/>
    <s v="Mixed"/>
    <n v="2500"/>
    <n v="31"/>
    <n v="93"/>
    <n v="46"/>
    <n v="49.5"/>
    <s v="No"/>
    <s v="Yes"/>
    <s v="No"/>
    <s v="Yes"/>
    <s v="Yes"/>
    <x v="0"/>
    <d v="2025-03-23T00:00:00"/>
    <n v="4.2"/>
    <n v="14"/>
    <s v="Hostel Verification Team"/>
  </r>
  <r>
    <s v="HST0323"/>
    <s v="Green Valley Hostel"/>
    <x v="7"/>
    <n v="4.3"/>
    <s v="4-in-a-room"/>
    <s v="Mixed"/>
    <n v="3050"/>
    <n v="11"/>
    <n v="44"/>
    <n v="41"/>
    <n v="93.2"/>
    <s v="Yes"/>
    <s v="Yes"/>
    <s v="Yes"/>
    <s v="Yes"/>
    <s v="Yes"/>
    <x v="1"/>
    <d v="2025-10-09T00:00:00"/>
    <n v="4.7"/>
    <n v="16"/>
    <s v="Hostel Verification Team"/>
  </r>
  <r>
    <s v="HST0324"/>
    <s v="Comfort Zone Hostel"/>
    <x v="5"/>
    <n v="1.6"/>
    <s v="2-in-a-room"/>
    <s v="Male"/>
    <n v="4750"/>
    <n v="43"/>
    <n v="86"/>
    <n v="77"/>
    <n v="89.5"/>
    <s v="No"/>
    <s v="No"/>
    <s v="No"/>
    <s v="Yes"/>
    <s v="Yes"/>
    <x v="2"/>
    <d v="2026-03-11T00:00:00"/>
    <n v="4.5"/>
    <n v="3"/>
    <s v="Hostel Verification Team"/>
  </r>
  <r>
    <s v="HST0325"/>
    <s v="University Heights Hostel"/>
    <x v="1"/>
    <n v="3.9"/>
    <s v="2-in-a-room"/>
    <s v="Mixed"/>
    <n v="7000"/>
    <n v="30"/>
    <n v="60"/>
    <n v="41"/>
    <n v="68.3"/>
    <s v="No"/>
    <s v="Yes"/>
    <s v="No"/>
    <s v="Yes"/>
    <s v="No"/>
    <x v="2"/>
    <d v="2025-12-08T00:00:00"/>
    <n v="3.6"/>
    <n v="7"/>
    <s v="Hostel Verification Team"/>
  </r>
  <r>
    <s v="HST0326"/>
    <s v="Blue Sky Hostel"/>
    <x v="7"/>
    <n v="7.2"/>
    <s v="4-in-a-room"/>
    <s v="Male"/>
    <n v="3300"/>
    <n v="8"/>
    <n v="32"/>
    <n v="12"/>
    <n v="37.5"/>
    <s v="Yes"/>
    <s v="Yes"/>
    <s v="Yes"/>
    <s v="Yes"/>
    <s v="Yes"/>
    <x v="1"/>
    <d v="2025-10-28T00:00:00"/>
    <n v="3.9"/>
    <n v="7"/>
    <s v="Hostel Verification Team"/>
  </r>
  <r>
    <s v="HST0327"/>
    <s v="New Era Hostel"/>
    <x v="0"/>
    <n v="5.8"/>
    <s v="3-in-a-room"/>
    <s v="Male"/>
    <n v="4500"/>
    <n v="40"/>
    <n v="120"/>
    <n v="113"/>
    <n v="94.2"/>
    <s v="Yes"/>
    <s v="Yes"/>
    <s v="Yes"/>
    <s v="Yes"/>
    <s v="Yes"/>
    <x v="1"/>
    <d v="2025-06-17T00:00:00"/>
    <n v="3.9"/>
    <n v="4"/>
    <s v="Hostel Verification Team"/>
  </r>
  <r>
    <s v="HST0328"/>
    <s v="Golden Gate Hostel"/>
    <x v="3"/>
    <n v="6.1"/>
    <s v="Single"/>
    <s v="Male"/>
    <n v="10000"/>
    <n v="33"/>
    <n v="33"/>
    <n v="29"/>
    <n v="87.9"/>
    <s v="Yes"/>
    <s v="No"/>
    <s v="Yes"/>
    <s v="Yes"/>
    <s v="Yes"/>
    <x v="0"/>
    <d v="2025-08-20T00:00:00"/>
    <n v="5"/>
    <n v="18"/>
    <s v="Hostel Verification Team"/>
  </r>
  <r>
    <s v="HST0329"/>
    <s v="Hilltop Hostel"/>
    <x v="3"/>
    <n v="0.5"/>
    <s v="4-in-a-room"/>
    <s v="Male"/>
    <n v="2050"/>
    <n v="11"/>
    <n v="44"/>
    <n v="44"/>
    <n v="100"/>
    <s v="Yes"/>
    <s v="Yes"/>
    <s v="Yes"/>
    <s v="Yes"/>
    <s v="No"/>
    <x v="0"/>
    <d v="2025-12-18T00:00:00"/>
    <n v="3.5"/>
    <n v="0"/>
    <s v="Hostel Verification Team"/>
  </r>
  <r>
    <s v="HST0330"/>
    <s v="Scholar's Lodge"/>
    <x v="0"/>
    <n v="2.5"/>
    <s v="2-in-a-room"/>
    <s v="Mixed"/>
    <n v="6000"/>
    <n v="40"/>
    <n v="80"/>
    <n v="72"/>
    <n v="90"/>
    <s v="No"/>
    <s v="No"/>
    <s v="No"/>
    <s v="Yes"/>
    <s v="Yes"/>
    <x v="2"/>
    <d v="2025-08-24T00:00:00"/>
    <n v="3.4"/>
    <n v="18"/>
    <s v="Hostel Verification Team"/>
  </r>
  <r>
    <s v="HST0331"/>
    <s v="Royal Palm Hostel"/>
    <x v="5"/>
    <n v="3.4"/>
    <s v="4-in-a-room"/>
    <s v="Mixed"/>
    <n v="2300"/>
    <n v="16"/>
    <n v="64"/>
    <n v="43"/>
    <n v="67.2"/>
    <s v="No"/>
    <s v="Yes"/>
    <s v="No"/>
    <s v="No"/>
    <s v="Yes"/>
    <x v="2"/>
    <d v="2025-04-04T00:00:00"/>
    <n v="3.5"/>
    <n v="2"/>
    <s v="Hostel Verification Team"/>
  </r>
  <r>
    <s v="HST0332"/>
    <s v="Ocean Breeze Hostel"/>
    <x v="4"/>
    <n v="3.7"/>
    <s v="2-in-a-room"/>
    <s v="Mixed"/>
    <n v="7250"/>
    <n v="33"/>
    <n v="66"/>
    <n v="64"/>
    <n v="97"/>
    <s v="Yes"/>
    <s v="No"/>
    <s v="Yes"/>
    <s v="Yes"/>
    <s v="Yes"/>
    <x v="0"/>
    <d v="2025-07-29T00:00:00"/>
    <n v="4.3"/>
    <n v="10"/>
    <s v="Hostel Verification Team"/>
  </r>
  <r>
    <s v="HST0333"/>
    <s v="Garden City Hostel"/>
    <x v="2"/>
    <n v="1"/>
    <s v="4-in-a-room"/>
    <s v="Female"/>
    <n v="3300"/>
    <n v="31"/>
    <n v="124"/>
    <n v="87"/>
    <n v="70.2"/>
    <s v="Yes"/>
    <s v="Yes"/>
    <s v="No"/>
    <s v="Yes"/>
    <s v="Yes"/>
    <x v="0"/>
    <d v="2025-07-24T00:00:00"/>
    <n v="4.8"/>
    <n v="5"/>
    <s v="Hostel Verification Team"/>
  </r>
  <r>
    <s v="HST0334"/>
    <s v="Hilltop Hostel"/>
    <x v="4"/>
    <n v="3.4"/>
    <s v="2-in-a-room"/>
    <s v="Female"/>
    <n v="5000"/>
    <n v="31"/>
    <n v="62"/>
    <n v="30"/>
    <n v="48.4"/>
    <s v="Yes"/>
    <s v="Yes"/>
    <s v="Yes"/>
    <s v="Yes"/>
    <s v="Yes"/>
    <x v="1"/>
    <d v="2025-04-07T00:00:00"/>
    <n v="3.9"/>
    <n v="0"/>
    <s v="Hostel Verification Team"/>
  </r>
  <r>
    <s v="HST0335"/>
    <s v="Sunrise Hostel"/>
    <x v="3"/>
    <n v="3.5"/>
    <s v="Single"/>
    <s v="Female"/>
    <n v="8000"/>
    <n v="21"/>
    <n v="21"/>
    <n v="18"/>
    <n v="85.7"/>
    <s v="Yes"/>
    <s v="No"/>
    <s v="No"/>
    <s v="Yes"/>
    <s v="Yes"/>
    <x v="0"/>
    <d v="2026-07-14T00:00:00"/>
    <n v="3.7"/>
    <n v="4"/>
    <s v="Hostel Verification Team"/>
  </r>
  <r>
    <s v="HST0336"/>
    <s v="Garden City Hostel"/>
    <x v="0"/>
    <n v="2.1"/>
    <s v="Single"/>
    <s v="Mixed"/>
    <n v="7750"/>
    <n v="20"/>
    <n v="20"/>
    <n v="19"/>
    <n v="95"/>
    <s v="Yes"/>
    <s v="Yes"/>
    <s v="No"/>
    <s v="Yes"/>
    <s v="No"/>
    <x v="0"/>
    <d v="2025-10-14T00:00:00"/>
    <n v="3.2"/>
    <n v="12"/>
    <s v="Hostel Verification Team"/>
  </r>
  <r>
    <s v="HST0337"/>
    <s v="Blue Sky Hostel"/>
    <x v="7"/>
    <n v="6.5"/>
    <s v="Single"/>
    <s v="Mixed"/>
    <n v="7750"/>
    <n v="32"/>
    <n v="32"/>
    <n v="18"/>
    <n v="56.2"/>
    <s v="Yes"/>
    <s v="Yes"/>
    <s v="Yes"/>
    <s v="Yes"/>
    <s v="Yes"/>
    <x v="1"/>
    <d v="2026-02-03T00:00:00"/>
    <n v="3.4"/>
    <n v="6"/>
    <s v="Hostel Verification Team"/>
  </r>
  <r>
    <s v="HST0338"/>
    <s v="Campus View Hostel"/>
    <x v="0"/>
    <n v="2"/>
    <s v="3-in-a-room"/>
    <s v="Male"/>
    <n v="3750"/>
    <n v="39"/>
    <n v="117"/>
    <n v="90"/>
    <n v="76.900000000000006"/>
    <s v="Yes"/>
    <s v="Yes"/>
    <s v="No"/>
    <s v="Yes"/>
    <s v="Yes"/>
    <x v="0"/>
    <d v="2025-06-19T00:00:00"/>
    <n v="4"/>
    <n v="9"/>
    <s v="Hostel Verification Team"/>
  </r>
  <r>
    <s v="HST0339"/>
    <s v="Victory Hostel"/>
    <x v="3"/>
    <n v="6.1"/>
    <s v="3-in-a-room"/>
    <s v="Mixed"/>
    <n v="4000"/>
    <n v="9"/>
    <n v="27"/>
    <n v="26"/>
    <n v="96.3"/>
    <s v="No"/>
    <s v="Yes"/>
    <s v="Yes"/>
    <s v="Yes"/>
    <s v="Yes"/>
    <x v="0"/>
    <d v="2025-10-23T00:00:00"/>
    <n v="3.9"/>
    <n v="2"/>
    <s v="Hostel Verification Team"/>
  </r>
  <r>
    <s v="HST0340"/>
    <s v="Hilltop Hostel"/>
    <x v="5"/>
    <n v="3.2"/>
    <s v="2-in-a-room"/>
    <s v="Female"/>
    <n v="6750"/>
    <n v="27"/>
    <n v="54"/>
    <n v="39"/>
    <n v="72.2"/>
    <s v="Yes"/>
    <s v="Yes"/>
    <s v="No"/>
    <s v="Yes"/>
    <s v="Yes"/>
    <x v="0"/>
    <d v="2026-04-14T00:00:00"/>
    <n v="3.3"/>
    <n v="4"/>
    <s v="Hostel Verification Team"/>
  </r>
  <r>
    <s v="HST0341"/>
    <s v="Victory Hostel"/>
    <x v="4"/>
    <n v="3.3"/>
    <s v="2-in-a-room"/>
    <s v="Female"/>
    <n v="4750"/>
    <n v="28"/>
    <n v="56"/>
    <n v="23"/>
    <n v="41.1"/>
    <s v="Yes"/>
    <s v="Yes"/>
    <s v="Yes"/>
    <s v="Yes"/>
    <s v="Yes"/>
    <x v="1"/>
    <d v="2026-07-09T00:00:00"/>
    <n v="4.4000000000000004"/>
    <n v="10"/>
    <s v="Hostel Verification Team"/>
  </r>
  <r>
    <s v="HST0342"/>
    <s v="Scholar's Lodge"/>
    <x v="6"/>
    <n v="5.6"/>
    <s v="3-in-a-room"/>
    <s v="Male"/>
    <n v="3000"/>
    <n v="20"/>
    <n v="60"/>
    <n v="27"/>
    <n v="45"/>
    <s v="Yes"/>
    <s v="Yes"/>
    <s v="No"/>
    <s v="Yes"/>
    <s v="Yes"/>
    <x v="0"/>
    <d v="2025-05-24T00:00:00"/>
    <n v="3.6"/>
    <n v="7"/>
    <s v="Hostel Verification Team"/>
  </r>
  <r>
    <s v="HST0343"/>
    <s v="Campus View Hostel"/>
    <x v="7"/>
    <n v="0.8"/>
    <s v="4-in-a-room"/>
    <s v="Female"/>
    <n v="2300"/>
    <n v="40"/>
    <n v="160"/>
    <n v="133"/>
    <n v="83.1"/>
    <s v="No"/>
    <s v="No"/>
    <s v="Yes"/>
    <s v="Yes"/>
    <s v="Yes"/>
    <x v="0"/>
    <d v="2026-05-05T00:00:00"/>
    <n v="4.2"/>
    <n v="4"/>
    <s v="Hostel Verification Team"/>
  </r>
  <r>
    <s v="HST0344"/>
    <s v="Campus View Hostel"/>
    <x v="3"/>
    <n v="7.1"/>
    <s v="2-in-a-room"/>
    <s v="Female"/>
    <n v="5000"/>
    <n v="21"/>
    <n v="42"/>
    <n v="16"/>
    <n v="38.1"/>
    <s v="Yes"/>
    <s v="No"/>
    <s v="No"/>
    <s v="No"/>
    <s v="No"/>
    <x v="2"/>
    <d v="2025-07-10T00:00:00"/>
    <n v="4.3"/>
    <n v="7"/>
    <s v="Hostel Verification Team"/>
  </r>
  <r>
    <s v="HST0345"/>
    <s v="Comfort Zone Hostel"/>
    <x v="0"/>
    <n v="4.5999999999999996"/>
    <s v="4-in-a-room"/>
    <s v="Mixed"/>
    <n v="4550"/>
    <n v="28"/>
    <n v="112"/>
    <n v="89"/>
    <n v="79.5"/>
    <s v="No"/>
    <s v="Yes"/>
    <s v="Yes"/>
    <s v="Yes"/>
    <s v="Yes"/>
    <x v="0"/>
    <d v="2026-07-13T00:00:00"/>
    <n v="3.5"/>
    <n v="7"/>
    <s v="Hostel Verification Team"/>
  </r>
  <r>
    <s v="HST0346"/>
    <s v="Green Valley Hostel"/>
    <x v="1"/>
    <n v="4"/>
    <s v="Single"/>
    <s v="Mixed"/>
    <n v="7000"/>
    <n v="26"/>
    <n v="26"/>
    <n v="23"/>
    <n v="88.5"/>
    <s v="Yes"/>
    <s v="No"/>
    <s v="Yes"/>
    <s v="Yes"/>
    <s v="Yes"/>
    <x v="0"/>
    <d v="2026-02-21T00:00:00"/>
    <n v="3.9"/>
    <n v="9"/>
    <s v="Hostel Verification Team"/>
  </r>
  <r>
    <s v="HST0347"/>
    <s v="Green Valley Hostel"/>
    <x v="4"/>
    <n v="3.6"/>
    <s v="4-in-a-room"/>
    <s v="Mixed"/>
    <n v="2050"/>
    <n v="40"/>
    <n v="160"/>
    <n v="70"/>
    <n v="43.8"/>
    <s v="Yes"/>
    <s v="No"/>
    <s v="Yes"/>
    <s v="Yes"/>
    <s v="No"/>
    <x v="0"/>
    <d v="2025-07-13T00:00:00"/>
    <n v="4.3"/>
    <n v="0"/>
    <s v="Hostel Verification Team"/>
  </r>
  <r>
    <s v="HST0348"/>
    <s v="Peace Haven Hostel"/>
    <x v="6"/>
    <n v="0.9"/>
    <s v="3-in-a-room"/>
    <s v="Mixed"/>
    <n v="5250"/>
    <n v="18"/>
    <n v="54"/>
    <n v="25"/>
    <n v="46.3"/>
    <s v="Yes"/>
    <s v="Yes"/>
    <s v="No"/>
    <s v="Yes"/>
    <s v="No"/>
    <x v="0"/>
    <d v="2025-04-13T00:00:00"/>
    <n v="4.7"/>
    <n v="16"/>
    <s v="Hostel Verification Team"/>
  </r>
  <r>
    <s v="HST0349"/>
    <s v="Comfort Zone Hostel"/>
    <x v="4"/>
    <n v="3"/>
    <s v="4-in-a-room"/>
    <s v="Female"/>
    <n v="1800"/>
    <n v="18"/>
    <n v="72"/>
    <n v="46"/>
    <n v="63.9"/>
    <s v="Yes"/>
    <s v="No"/>
    <s v="Yes"/>
    <s v="Yes"/>
    <s v="Yes"/>
    <x v="0"/>
    <d v="2025-06-12T00:00:00"/>
    <n v="3.7"/>
    <n v="9"/>
    <s v="Hostel Verification Team"/>
  </r>
  <r>
    <s v="HST0350"/>
    <s v="Scholar's Lodge"/>
    <x v="4"/>
    <n v="1.1000000000000001"/>
    <s v="2-in-a-room"/>
    <s v="Male"/>
    <n v="5000"/>
    <n v="8"/>
    <n v="16"/>
    <n v="14"/>
    <n v="87.5"/>
    <s v="No"/>
    <s v="Yes"/>
    <s v="Yes"/>
    <s v="Yes"/>
    <s v="No"/>
    <x v="0"/>
    <d v="2025-09-26T00:00:00"/>
    <n v="4.9000000000000004"/>
    <n v="15"/>
    <s v="Hostel Verification Team"/>
  </r>
  <r>
    <s v="HST0351"/>
    <s v="Peace Haven Hostel"/>
    <x v="6"/>
    <n v="3.5"/>
    <s v="4-in-a-room"/>
    <s v="Male"/>
    <n v="2050"/>
    <n v="8"/>
    <n v="32"/>
    <n v="18"/>
    <n v="56.2"/>
    <s v="Yes"/>
    <s v="Yes"/>
    <s v="Yes"/>
    <s v="Yes"/>
    <s v="Yes"/>
    <x v="1"/>
    <d v="2026-07-24T00:00:00"/>
    <n v="3.9"/>
    <n v="1"/>
    <s v="Hostel Verification Team"/>
  </r>
  <r>
    <s v="HST0352"/>
    <s v="Garden City Hostel"/>
    <x v="3"/>
    <n v="2.6"/>
    <s v="Single"/>
    <s v="Female"/>
    <n v="5750"/>
    <n v="14"/>
    <n v="14"/>
    <n v="10"/>
    <n v="71.400000000000006"/>
    <s v="Yes"/>
    <s v="No"/>
    <s v="No"/>
    <s v="Yes"/>
    <s v="Yes"/>
    <x v="0"/>
    <d v="2025-07-11T00:00:00"/>
    <n v="3.9"/>
    <n v="18"/>
    <s v="Hostel Verification Team"/>
  </r>
  <r>
    <s v="HST0353"/>
    <s v="Green Valley Hostel"/>
    <x v="2"/>
    <n v="5.8"/>
    <s v="3-in-a-room"/>
    <s v="Male"/>
    <n v="3750"/>
    <n v="32"/>
    <n v="96"/>
    <n v="41"/>
    <n v="42.7"/>
    <s v="Yes"/>
    <s v="Yes"/>
    <s v="Yes"/>
    <s v="Yes"/>
    <s v="Yes"/>
    <x v="1"/>
    <d v="2026-03-23T00:00:00"/>
    <n v="3.7"/>
    <n v="8"/>
    <s v="Hostel Verification Team"/>
  </r>
  <r>
    <s v="HST0354"/>
    <s v="Peace Haven Hostel"/>
    <x v="0"/>
    <n v="1"/>
    <s v="Single"/>
    <s v="Male"/>
    <n v="9250"/>
    <n v="26"/>
    <n v="26"/>
    <n v="22"/>
    <n v="84.6"/>
    <s v="No"/>
    <s v="No"/>
    <s v="Yes"/>
    <s v="Yes"/>
    <s v="Yes"/>
    <x v="0"/>
    <d v="2025-11-30T00:00:00"/>
    <n v="4.5"/>
    <n v="15"/>
    <s v="Hostel Verification Team"/>
  </r>
  <r>
    <s v="HST0355"/>
    <s v="Hilltop Hostel"/>
    <x v="5"/>
    <n v="5.4"/>
    <s v="2-in-a-room"/>
    <s v="Mixed"/>
    <n v="3500"/>
    <n v="15"/>
    <n v="30"/>
    <n v="10"/>
    <n v="33.299999999999997"/>
    <s v="No"/>
    <s v="No"/>
    <s v="No"/>
    <s v="Yes"/>
    <s v="Yes"/>
    <x v="2"/>
    <d v="2026-05-01T00:00:00"/>
    <n v="3.6"/>
    <n v="1"/>
    <s v="Hostel Verification Team"/>
  </r>
  <r>
    <s v="HST0356"/>
    <s v="Peace Haven Hostel"/>
    <x v="0"/>
    <n v="4.9000000000000004"/>
    <s v="3-in-a-room"/>
    <s v="Mixed"/>
    <n v="3500"/>
    <n v="12"/>
    <n v="36"/>
    <n v="21"/>
    <n v="58.3"/>
    <s v="Yes"/>
    <s v="Yes"/>
    <s v="Yes"/>
    <s v="Yes"/>
    <s v="Yes"/>
    <x v="1"/>
    <d v="2025-11-13T00:00:00"/>
    <n v="4.5999999999999996"/>
    <n v="12"/>
    <s v="Hostel Verification Team"/>
  </r>
  <r>
    <s v="HST0357"/>
    <s v="Garden City Hostel"/>
    <x v="0"/>
    <n v="6.3"/>
    <s v="2-in-a-room"/>
    <s v="Female"/>
    <n v="6000"/>
    <n v="29"/>
    <n v="58"/>
    <n v="50"/>
    <n v="86.2"/>
    <s v="Yes"/>
    <s v="No"/>
    <s v="Yes"/>
    <s v="Yes"/>
    <s v="Yes"/>
    <x v="0"/>
    <d v="2026-05-10T00:00:00"/>
    <n v="4.5"/>
    <n v="17"/>
    <s v="Hostel Verification Team"/>
  </r>
  <r>
    <s v="HST0358"/>
    <s v="Green Valley Hostel"/>
    <x v="3"/>
    <n v="4.3"/>
    <s v="3-in-a-room"/>
    <s v="Female"/>
    <n v="4500"/>
    <n v="42"/>
    <n v="126"/>
    <n v="46"/>
    <n v="36.5"/>
    <s v="Yes"/>
    <s v="Yes"/>
    <s v="Yes"/>
    <s v="Yes"/>
    <s v="Yes"/>
    <x v="1"/>
    <d v="2025-08-11T00:00:00"/>
    <n v="3.6"/>
    <n v="0"/>
    <s v="Hostel Verification Team"/>
  </r>
  <r>
    <s v="HST0359"/>
    <s v="Comfort Zone Hostel"/>
    <x v="4"/>
    <n v="4.4000000000000004"/>
    <s v="4-in-a-room"/>
    <s v="Female"/>
    <n v="2300"/>
    <n v="15"/>
    <n v="60"/>
    <n v="40"/>
    <n v="66.7"/>
    <s v="Yes"/>
    <s v="No"/>
    <s v="Yes"/>
    <s v="Yes"/>
    <s v="Yes"/>
    <x v="0"/>
    <d v="2025-11-28T00:00:00"/>
    <n v="3.3"/>
    <n v="7"/>
    <s v="Hostel Verification Team"/>
  </r>
  <r>
    <s v="HST0360"/>
    <s v="Peace Haven Hostel"/>
    <x v="3"/>
    <n v="1.5"/>
    <s v="3-in-a-room"/>
    <s v="Female"/>
    <n v="5500"/>
    <n v="10"/>
    <n v="30"/>
    <n v="16"/>
    <n v="53.3"/>
    <s v="Yes"/>
    <s v="Yes"/>
    <s v="Yes"/>
    <s v="No"/>
    <s v="Yes"/>
    <x v="0"/>
    <d v="2025-04-14T00:00:00"/>
    <n v="4.7"/>
    <n v="10"/>
    <s v="Hostel Verification Team"/>
  </r>
  <r>
    <s v="HST0361"/>
    <s v="Victory Hostel"/>
    <x v="3"/>
    <n v="5.9"/>
    <s v="2-in-a-room"/>
    <s v="Mixed"/>
    <n v="4250"/>
    <n v="41"/>
    <n v="82"/>
    <n v="71"/>
    <n v="86.6"/>
    <s v="No"/>
    <s v="Yes"/>
    <s v="Yes"/>
    <s v="Yes"/>
    <s v="Yes"/>
    <x v="0"/>
    <d v="2025-05-25T00:00:00"/>
    <n v="3.9"/>
    <n v="0"/>
    <s v="Hostel Verification Team"/>
  </r>
  <r>
    <s v="HST0362"/>
    <s v="Royal Palm Hostel"/>
    <x v="7"/>
    <n v="3.6"/>
    <s v="Single"/>
    <s v="Male"/>
    <n v="6250"/>
    <n v="41"/>
    <n v="41"/>
    <n v="38"/>
    <n v="92.7"/>
    <s v="Yes"/>
    <s v="Yes"/>
    <s v="No"/>
    <s v="Yes"/>
    <s v="Yes"/>
    <x v="0"/>
    <d v="2025-11-25T00:00:00"/>
    <n v="4.2"/>
    <n v="6"/>
    <s v="Hostel Verification Team"/>
  </r>
  <r>
    <s v="HST0363"/>
    <s v="Scholar's Lodge"/>
    <x v="3"/>
    <n v="4.0999999999999996"/>
    <s v="4-in-a-room"/>
    <s v="Female"/>
    <n v="4300"/>
    <n v="15"/>
    <n v="60"/>
    <n v="38"/>
    <n v="63.3"/>
    <s v="Yes"/>
    <s v="Yes"/>
    <s v="Yes"/>
    <s v="Yes"/>
    <s v="Yes"/>
    <x v="1"/>
    <d v="2025-06-11T00:00:00"/>
    <n v="3.3"/>
    <n v="6"/>
    <s v="Hostel Verification Team"/>
  </r>
  <r>
    <s v="HST0364"/>
    <s v="Ocean Breeze Hostel"/>
    <x v="3"/>
    <n v="4.4000000000000004"/>
    <s v="2-in-a-room"/>
    <s v="Male"/>
    <n v="4000"/>
    <n v="27"/>
    <n v="54"/>
    <n v="39"/>
    <n v="72.2"/>
    <s v="Yes"/>
    <s v="No"/>
    <s v="Yes"/>
    <s v="No"/>
    <s v="Yes"/>
    <x v="0"/>
    <d v="2026-07-17T00:00:00"/>
    <n v="3.8"/>
    <n v="1"/>
    <s v="Hostel Verification Team"/>
  </r>
  <r>
    <s v="HST0365"/>
    <s v="Comfort Zone Hostel"/>
    <x v="0"/>
    <n v="0.8"/>
    <s v="4-in-a-room"/>
    <s v="Mixed"/>
    <n v="2300"/>
    <n v="45"/>
    <n v="180"/>
    <n v="142"/>
    <n v="78.900000000000006"/>
    <s v="Yes"/>
    <s v="Yes"/>
    <s v="Yes"/>
    <s v="Yes"/>
    <s v="Yes"/>
    <x v="1"/>
    <d v="2026-04-11T00:00:00"/>
    <n v="3.8"/>
    <n v="14"/>
    <s v="Hostel Verification Team"/>
  </r>
  <r>
    <s v="HST0366"/>
    <s v="Eagle's Nest Hostel"/>
    <x v="2"/>
    <n v="3.5"/>
    <s v="4-in-a-room"/>
    <s v="Female"/>
    <n v="3550"/>
    <n v="22"/>
    <n v="88"/>
    <n v="44"/>
    <n v="50"/>
    <s v="Yes"/>
    <s v="Yes"/>
    <s v="Yes"/>
    <s v="Yes"/>
    <s v="Yes"/>
    <x v="1"/>
    <d v="2025-06-06T00:00:00"/>
    <n v="3.9"/>
    <n v="10"/>
    <s v="Hostel Verification Team"/>
  </r>
  <r>
    <s v="HST0367"/>
    <s v="Maple Court Hostel"/>
    <x v="0"/>
    <n v="0.7"/>
    <s v="Single"/>
    <s v="Female"/>
    <n v="8250"/>
    <n v="38"/>
    <n v="38"/>
    <n v="27"/>
    <n v="71.099999999999994"/>
    <s v="Yes"/>
    <s v="Yes"/>
    <s v="No"/>
    <s v="Yes"/>
    <s v="Yes"/>
    <x v="0"/>
    <d v="2025-07-03T00:00:00"/>
    <n v="4.4000000000000004"/>
    <n v="12"/>
    <s v="Hostel Verification Team"/>
  </r>
  <r>
    <s v="HST0368"/>
    <s v="Prime Scholars Hostel"/>
    <x v="2"/>
    <n v="6"/>
    <s v="4-in-a-room"/>
    <s v="Male"/>
    <n v="3300"/>
    <n v="45"/>
    <n v="180"/>
    <n v="114"/>
    <n v="63.3"/>
    <s v="No"/>
    <s v="Yes"/>
    <s v="Yes"/>
    <s v="Yes"/>
    <s v="Yes"/>
    <x v="0"/>
    <d v="2025-09-11T00:00:00"/>
    <n v="3.1"/>
    <n v="10"/>
    <s v="Hostel Verification Team"/>
  </r>
  <r>
    <s v="HST0369"/>
    <s v="Garden City Hostel"/>
    <x v="1"/>
    <n v="5.9"/>
    <s v="4-in-a-room"/>
    <s v="Male"/>
    <n v="4050"/>
    <n v="29"/>
    <n v="116"/>
    <n v="109"/>
    <n v="94"/>
    <s v="No"/>
    <s v="Yes"/>
    <s v="No"/>
    <s v="Yes"/>
    <s v="Yes"/>
    <x v="0"/>
    <d v="2025-09-08T00:00:00"/>
    <n v="3.6"/>
    <n v="18"/>
    <s v="Hostel Verification Team"/>
  </r>
  <r>
    <s v="HST0370"/>
    <s v="Eagle's Nest Hostel"/>
    <x v="4"/>
    <n v="2.4"/>
    <s v="4-in-a-room"/>
    <s v="Mixed"/>
    <n v="2050"/>
    <n v="14"/>
    <n v="56"/>
    <n v="43"/>
    <n v="76.8"/>
    <s v="Yes"/>
    <s v="Yes"/>
    <s v="Yes"/>
    <s v="No"/>
    <s v="Yes"/>
    <x v="0"/>
    <d v="2025-12-11T00:00:00"/>
    <n v="3.7"/>
    <n v="18"/>
    <s v="Hostel Verification Team"/>
  </r>
  <r>
    <s v="HST0371"/>
    <s v="Campus View Hostel"/>
    <x v="4"/>
    <n v="5"/>
    <s v="4-in-a-room"/>
    <s v="Female"/>
    <n v="3800"/>
    <n v="26"/>
    <n v="104"/>
    <n v="85"/>
    <n v="81.7"/>
    <s v="Yes"/>
    <s v="Yes"/>
    <s v="No"/>
    <s v="Yes"/>
    <s v="Yes"/>
    <x v="0"/>
    <d v="2026-04-12T00:00:00"/>
    <n v="4.2"/>
    <n v="18"/>
    <s v="Hostel Verification Team"/>
  </r>
  <r>
    <s v="HST0372"/>
    <s v="Starlight Hostel"/>
    <x v="2"/>
    <n v="4.5"/>
    <s v="4-in-a-room"/>
    <s v="Male"/>
    <n v="2300"/>
    <n v="26"/>
    <n v="104"/>
    <n v="43"/>
    <n v="41.3"/>
    <s v="Yes"/>
    <s v="Yes"/>
    <s v="No"/>
    <s v="Yes"/>
    <s v="Yes"/>
    <x v="0"/>
    <d v="2026-01-23T00:00:00"/>
    <n v="3.2"/>
    <n v="9"/>
    <s v="Hostel Verification Team"/>
  </r>
  <r>
    <s v="HST0373"/>
    <s v="Golden Gate Hostel"/>
    <x v="1"/>
    <n v="5.3"/>
    <s v="4-in-a-room"/>
    <s v="Female"/>
    <n v="4300"/>
    <n v="28"/>
    <n v="112"/>
    <n v="87"/>
    <n v="77.7"/>
    <s v="Yes"/>
    <s v="Yes"/>
    <s v="No"/>
    <s v="No"/>
    <s v="No"/>
    <x v="2"/>
    <d v="2026-03-01T00:00:00"/>
    <n v="4.4000000000000004"/>
    <n v="15"/>
    <s v="Hostel Verification Team"/>
  </r>
  <r>
    <s v="HST0374"/>
    <s v="Kings Court Hostel"/>
    <x v="4"/>
    <n v="2.2999999999999998"/>
    <s v="2-in-a-room"/>
    <s v="Male"/>
    <n v="4500"/>
    <n v="8"/>
    <n v="16"/>
    <n v="6"/>
    <n v="37.5"/>
    <s v="No"/>
    <s v="Yes"/>
    <s v="No"/>
    <s v="Yes"/>
    <s v="No"/>
    <x v="2"/>
    <d v="2025-01-26T00:00:00"/>
    <n v="4.5"/>
    <n v="2"/>
    <s v="Hostel Verification Team"/>
  </r>
  <r>
    <s v="HST0375"/>
    <s v="Kings Court Hostel"/>
    <x v="6"/>
    <n v="6.7"/>
    <s v="4-in-a-room"/>
    <s v="Female"/>
    <n v="4050"/>
    <n v="19"/>
    <n v="76"/>
    <n v="55"/>
    <n v="72.400000000000006"/>
    <s v="Yes"/>
    <s v="Yes"/>
    <s v="Yes"/>
    <s v="No"/>
    <s v="No"/>
    <x v="0"/>
    <d v="2026-06-15T00:00:00"/>
    <n v="3.9"/>
    <n v="5"/>
    <s v="Hostel Verification Team"/>
  </r>
  <r>
    <s v="HST0376"/>
    <s v="Golden Gate Hostel"/>
    <x v="3"/>
    <n v="3.2"/>
    <s v="3-in-a-room"/>
    <s v="Mixed"/>
    <n v="2500"/>
    <n v="10"/>
    <n v="30"/>
    <n v="28"/>
    <n v="93.3"/>
    <s v="No"/>
    <s v="Yes"/>
    <s v="No"/>
    <s v="Yes"/>
    <s v="Yes"/>
    <x v="0"/>
    <d v="2026-05-19T00:00:00"/>
    <n v="4"/>
    <n v="4"/>
    <s v="Hostel Verification Team"/>
  </r>
  <r>
    <s v="HST0377"/>
    <s v="Victory Hostel"/>
    <x v="3"/>
    <n v="3.6"/>
    <s v="Single"/>
    <s v="Mixed"/>
    <n v="9500"/>
    <n v="13"/>
    <n v="13"/>
    <n v="7"/>
    <n v="53.8"/>
    <s v="Yes"/>
    <s v="Yes"/>
    <s v="No"/>
    <s v="Yes"/>
    <s v="Yes"/>
    <x v="0"/>
    <d v="2026-05-08T00:00:00"/>
    <n v="4.0999999999999996"/>
    <n v="17"/>
    <s v="Hostel Verification Team"/>
  </r>
  <r>
    <s v="HST0378"/>
    <s v="Maple Court Hostel"/>
    <x v="7"/>
    <n v="3.3"/>
    <s v="3-in-a-room"/>
    <s v="Male"/>
    <n v="3500"/>
    <n v="18"/>
    <n v="54"/>
    <n v="20"/>
    <n v="37"/>
    <s v="No"/>
    <s v="Yes"/>
    <s v="No"/>
    <s v="Yes"/>
    <s v="Yes"/>
    <x v="0"/>
    <d v="2025-11-17T00:00:00"/>
    <n v="3.4"/>
    <n v="18"/>
    <s v="Hostel Verification Team"/>
  </r>
  <r>
    <s v="HST0379"/>
    <s v="Scholar's Lodge"/>
    <x v="0"/>
    <n v="2.2999999999999998"/>
    <s v="Single"/>
    <s v="Male"/>
    <n v="6500"/>
    <n v="40"/>
    <n v="40"/>
    <n v="16"/>
    <n v="40"/>
    <s v="Yes"/>
    <s v="Yes"/>
    <s v="No"/>
    <s v="Yes"/>
    <s v="Yes"/>
    <x v="0"/>
    <d v="2025-10-21T00:00:00"/>
    <n v="4.3"/>
    <n v="8"/>
    <s v="Hostel Verification Team"/>
  </r>
  <r>
    <s v="HST0380"/>
    <s v="Garden City Hostel"/>
    <x v="4"/>
    <n v="5"/>
    <s v="3-in-a-room"/>
    <s v="Male"/>
    <n v="5500"/>
    <n v="19"/>
    <n v="57"/>
    <n v="35"/>
    <n v="61.4"/>
    <s v="Yes"/>
    <s v="Yes"/>
    <s v="No"/>
    <s v="No"/>
    <s v="Yes"/>
    <x v="0"/>
    <d v="2025-09-08T00:00:00"/>
    <n v="4"/>
    <n v="2"/>
    <s v="Hostel Verification Team"/>
  </r>
  <r>
    <s v="HST0381"/>
    <s v="Hilltop Hostel"/>
    <x v="4"/>
    <n v="6.3"/>
    <s v="4-in-a-room"/>
    <s v="Male"/>
    <n v="3300"/>
    <n v="23"/>
    <n v="92"/>
    <n v="74"/>
    <n v="80.400000000000006"/>
    <s v="Yes"/>
    <s v="Yes"/>
    <s v="No"/>
    <s v="Yes"/>
    <s v="Yes"/>
    <x v="0"/>
    <d v="2026-04-05T00:00:00"/>
    <n v="4"/>
    <n v="8"/>
    <s v="Hostel Verification Team"/>
  </r>
  <r>
    <s v="HST0382"/>
    <s v="Eagle's Nest Hostel"/>
    <x v="1"/>
    <n v="3.7"/>
    <s v="4-in-a-room"/>
    <s v="Female"/>
    <n v="4550"/>
    <n v="42"/>
    <n v="168"/>
    <n v="87"/>
    <n v="51.8"/>
    <s v="Yes"/>
    <s v="No"/>
    <s v="Yes"/>
    <s v="No"/>
    <s v="No"/>
    <x v="2"/>
    <d v="2026-02-02T00:00:00"/>
    <n v="3.7"/>
    <n v="0"/>
    <s v="Hostel Verification Team"/>
  </r>
  <r>
    <s v="HST0383"/>
    <s v="Eagle's Nest Hostel"/>
    <x v="1"/>
    <n v="5.2"/>
    <s v="Single"/>
    <s v="Female"/>
    <n v="6250"/>
    <n v="42"/>
    <n v="42"/>
    <n v="34"/>
    <n v="81"/>
    <s v="Yes"/>
    <s v="Yes"/>
    <s v="Yes"/>
    <s v="No"/>
    <s v="Yes"/>
    <x v="0"/>
    <d v="2026-01-07T00:00:00"/>
    <n v="4"/>
    <n v="3"/>
    <s v="Hostel Verification Team"/>
  </r>
  <r>
    <s v="HST0384"/>
    <s v="Golden Gate Hostel"/>
    <x v="5"/>
    <n v="4"/>
    <s v="2-in-a-room"/>
    <s v="Female"/>
    <n v="6000"/>
    <n v="43"/>
    <n v="86"/>
    <n v="30"/>
    <n v="34.9"/>
    <s v="Yes"/>
    <s v="Yes"/>
    <s v="Yes"/>
    <s v="Yes"/>
    <s v="Yes"/>
    <x v="1"/>
    <d v="2025-01-18T00:00:00"/>
    <n v="4.7"/>
    <n v="14"/>
    <s v="Hostel Verification Team"/>
  </r>
  <r>
    <s v="HST0385"/>
    <s v="Golden Gate Hostel"/>
    <x v="3"/>
    <n v="2"/>
    <s v="Single"/>
    <s v="Male"/>
    <n v="5500"/>
    <n v="13"/>
    <n v="13"/>
    <n v="4"/>
    <n v="30.8"/>
    <s v="Yes"/>
    <s v="No"/>
    <s v="Yes"/>
    <s v="Yes"/>
    <s v="Yes"/>
    <x v="0"/>
    <d v="2025-08-20T00:00:00"/>
    <n v="4.0999999999999996"/>
    <n v="18"/>
    <s v="Hostel Verification Team"/>
  </r>
  <r>
    <s v="HST0386"/>
    <s v="University Heights Hostel"/>
    <x v="3"/>
    <n v="2.4"/>
    <s v="Single"/>
    <s v="Female"/>
    <n v="10500"/>
    <n v="37"/>
    <n v="37"/>
    <n v="20"/>
    <n v="54.1"/>
    <s v="Yes"/>
    <s v="Yes"/>
    <s v="Yes"/>
    <s v="Yes"/>
    <s v="Yes"/>
    <x v="1"/>
    <d v="2026-03-23T00:00:00"/>
    <n v="3.7"/>
    <n v="1"/>
    <s v="Hostel Verification Team"/>
  </r>
  <r>
    <s v="HST0387"/>
    <s v="Comfort Zone Hostel"/>
    <x v="7"/>
    <n v="7.5"/>
    <s v="3-in-a-room"/>
    <s v="Female"/>
    <n v="3500"/>
    <n v="19"/>
    <n v="57"/>
    <n v="47"/>
    <n v="82.5"/>
    <s v="No"/>
    <s v="Yes"/>
    <s v="No"/>
    <s v="No"/>
    <s v="Yes"/>
    <x v="2"/>
    <d v="2025-03-22T00:00:00"/>
    <n v="4.5"/>
    <n v="15"/>
    <s v="Hostel Verification Team"/>
  </r>
  <r>
    <s v="HST0388"/>
    <s v="Peace Haven Hostel"/>
    <x v="2"/>
    <n v="6.9"/>
    <s v="3-in-a-room"/>
    <s v="Male"/>
    <n v="2750"/>
    <n v="10"/>
    <n v="30"/>
    <n v="12"/>
    <n v="40"/>
    <s v="No"/>
    <s v="Yes"/>
    <s v="Yes"/>
    <s v="Yes"/>
    <s v="No"/>
    <x v="0"/>
    <d v="2025-03-23T00:00:00"/>
    <n v="4.4000000000000004"/>
    <n v="0"/>
    <s v="Hostel Verification Team"/>
  </r>
  <r>
    <s v="HST0389"/>
    <s v="Comfort Zone Hostel"/>
    <x v="3"/>
    <n v="1.3"/>
    <s v="3-in-a-room"/>
    <s v="Mixed"/>
    <n v="4000"/>
    <n v="44"/>
    <n v="132"/>
    <n v="46"/>
    <n v="34.799999999999997"/>
    <s v="No"/>
    <s v="Yes"/>
    <s v="Yes"/>
    <s v="No"/>
    <s v="No"/>
    <x v="2"/>
    <d v="2026-06-21T00:00:00"/>
    <n v="4.0999999999999996"/>
    <n v="17"/>
    <s v="Hostel Verification Team"/>
  </r>
  <r>
    <s v="HST0390"/>
    <s v="Maple Court Hostel"/>
    <x v="2"/>
    <n v="4.3"/>
    <s v="3-in-a-room"/>
    <s v="Female"/>
    <n v="3750"/>
    <n v="27"/>
    <n v="81"/>
    <n v="53"/>
    <n v="65.400000000000006"/>
    <s v="Yes"/>
    <s v="Yes"/>
    <s v="No"/>
    <s v="Yes"/>
    <s v="Yes"/>
    <x v="0"/>
    <d v="2025-03-07T00:00:00"/>
    <n v="4.5"/>
    <n v="14"/>
    <s v="Hostel Verification Team"/>
  </r>
  <r>
    <s v="HST0391"/>
    <s v="Peace Haven Hostel"/>
    <x v="4"/>
    <n v="4.2"/>
    <s v="4-in-a-room"/>
    <s v="Mixed"/>
    <n v="4300"/>
    <n v="20"/>
    <n v="80"/>
    <n v="47"/>
    <n v="58.8"/>
    <s v="Yes"/>
    <s v="No"/>
    <s v="Yes"/>
    <s v="Yes"/>
    <s v="Yes"/>
    <x v="0"/>
    <d v="2026-02-13T00:00:00"/>
    <n v="4.2"/>
    <n v="6"/>
    <s v="Hostel Verification Team"/>
  </r>
  <r>
    <s v="HST0392"/>
    <s v="Garden City Hostel"/>
    <x v="5"/>
    <n v="3.8"/>
    <s v="Single"/>
    <s v="Female"/>
    <n v="11750"/>
    <n v="42"/>
    <n v="42"/>
    <n v="34"/>
    <n v="81"/>
    <s v="Yes"/>
    <s v="Yes"/>
    <s v="Yes"/>
    <s v="No"/>
    <s v="No"/>
    <x v="0"/>
    <d v="2025-11-21T00:00:00"/>
    <n v="4.3"/>
    <n v="1"/>
    <s v="Hostel Verification Team"/>
  </r>
  <r>
    <s v="HST0393"/>
    <s v="Green Valley Hostel"/>
    <x v="1"/>
    <n v="1.1000000000000001"/>
    <s v="4-in-a-room"/>
    <s v="Male"/>
    <n v="4300"/>
    <n v="42"/>
    <n v="168"/>
    <n v="77"/>
    <n v="45.8"/>
    <s v="Yes"/>
    <s v="No"/>
    <s v="No"/>
    <s v="Yes"/>
    <s v="Yes"/>
    <x v="0"/>
    <d v="2025-09-05T00:00:00"/>
    <n v="2.8"/>
    <n v="0"/>
    <s v="Hostel Verification Team"/>
  </r>
  <r>
    <s v="HST0394"/>
    <s v="Golden Gate Hostel"/>
    <x v="4"/>
    <n v="0.3"/>
    <s v="Single"/>
    <s v="Male"/>
    <n v="7750"/>
    <n v="14"/>
    <n v="14"/>
    <n v="11"/>
    <n v="78.599999999999994"/>
    <s v="No"/>
    <s v="Yes"/>
    <s v="Yes"/>
    <s v="Yes"/>
    <s v="Yes"/>
    <x v="0"/>
    <d v="2025-07-03T00:00:00"/>
    <n v="4.2"/>
    <n v="2"/>
    <s v="Hostel Verification Team"/>
  </r>
  <r>
    <s v="HST0395"/>
    <s v="Kings Court Hostel"/>
    <x v="7"/>
    <n v="6.1"/>
    <s v="4-in-a-room"/>
    <s v="Female"/>
    <n v="3050"/>
    <n v="15"/>
    <n v="60"/>
    <n v="57"/>
    <n v="95"/>
    <s v="Yes"/>
    <s v="Yes"/>
    <s v="Yes"/>
    <s v="Yes"/>
    <s v="Yes"/>
    <x v="1"/>
    <d v="2026-07-22T00:00:00"/>
    <n v="4.4000000000000004"/>
    <n v="10"/>
    <s v="Hostel Verification Team"/>
  </r>
  <r>
    <s v="HST0396"/>
    <s v="University Heights Hostel"/>
    <x v="7"/>
    <n v="4.2"/>
    <s v="4-in-a-room"/>
    <s v="Male"/>
    <n v="2550"/>
    <n v="45"/>
    <n v="180"/>
    <n v="67"/>
    <n v="37.200000000000003"/>
    <s v="Yes"/>
    <s v="No"/>
    <s v="Yes"/>
    <s v="Yes"/>
    <s v="No"/>
    <x v="0"/>
    <d v="2025-05-26T00:00:00"/>
    <n v="4.2"/>
    <n v="2"/>
    <s v="Hostel Verification Team"/>
  </r>
  <r>
    <s v="HST0397"/>
    <s v="Campus View Hostel"/>
    <x v="4"/>
    <n v="7"/>
    <s v="3-in-a-room"/>
    <s v="Male"/>
    <n v="4000"/>
    <n v="38"/>
    <n v="114"/>
    <n v="55"/>
    <n v="48.2"/>
    <s v="No"/>
    <s v="No"/>
    <s v="No"/>
    <s v="Yes"/>
    <s v="Yes"/>
    <x v="2"/>
    <d v="2025-08-09T00:00:00"/>
    <n v="4.7"/>
    <n v="7"/>
    <s v="Hostel Verification Team"/>
  </r>
  <r>
    <s v="HST0398"/>
    <s v="Hilltop Hostel"/>
    <x v="4"/>
    <n v="5.4"/>
    <s v="Single"/>
    <s v="Mixed"/>
    <n v="10500"/>
    <n v="27"/>
    <n v="27"/>
    <n v="20"/>
    <n v="74.099999999999994"/>
    <s v="Yes"/>
    <s v="Yes"/>
    <s v="Yes"/>
    <s v="Yes"/>
    <s v="Yes"/>
    <x v="1"/>
    <d v="2026-03-14T00:00:00"/>
    <n v="3.7"/>
    <n v="11"/>
    <s v="Hostel Verification Team"/>
  </r>
  <r>
    <s v="HST0399"/>
    <s v="Victory Hostel"/>
    <x v="5"/>
    <n v="3.6"/>
    <s v="2-in-a-room"/>
    <s v="Male"/>
    <n v="5500"/>
    <n v="11"/>
    <n v="22"/>
    <n v="13"/>
    <n v="59.1"/>
    <s v="Yes"/>
    <s v="Yes"/>
    <s v="Yes"/>
    <s v="Yes"/>
    <s v="No"/>
    <x v="0"/>
    <d v="2025-05-05T00:00:00"/>
    <n v="4.5"/>
    <n v="1"/>
    <s v="Hostel Verification Team"/>
  </r>
  <r>
    <s v="HST0400"/>
    <s v="Kings Court Hostel"/>
    <x v="3"/>
    <n v="2.6"/>
    <s v="4-in-a-room"/>
    <s v="Male"/>
    <n v="1800"/>
    <n v="14"/>
    <n v="56"/>
    <n v="22"/>
    <n v="39.299999999999997"/>
    <s v="No"/>
    <s v="Yes"/>
    <s v="Yes"/>
    <s v="Yes"/>
    <s v="Yes"/>
    <x v="0"/>
    <d v="2026-07-14T00:00:00"/>
    <n v="4.2"/>
    <n v="2"/>
    <s v="Hostel Verification Team"/>
  </r>
  <r>
    <s v="HST0401"/>
    <s v="Eagle's Nest Hostel"/>
    <x v="7"/>
    <n v="3.3"/>
    <s v="3-in-a-room"/>
    <s v="Mixed"/>
    <n v="3250"/>
    <n v="15"/>
    <n v="45"/>
    <n v="25"/>
    <n v="55.6"/>
    <s v="No"/>
    <s v="Yes"/>
    <s v="No"/>
    <s v="Yes"/>
    <s v="Yes"/>
    <x v="0"/>
    <d v="2025-08-31T00:00:00"/>
    <n v="4.2"/>
    <n v="12"/>
    <s v="Hostel Verification Team"/>
  </r>
  <r>
    <s v="HST0402"/>
    <s v="Maple Court Hostel"/>
    <x v="0"/>
    <n v="6.7"/>
    <s v="2-in-a-room"/>
    <s v="Male"/>
    <n v="5000"/>
    <n v="37"/>
    <n v="74"/>
    <n v="36"/>
    <n v="48.6"/>
    <s v="Yes"/>
    <s v="Yes"/>
    <s v="Yes"/>
    <s v="Yes"/>
    <s v="Yes"/>
    <x v="1"/>
    <d v="2026-02-10T00:00:00"/>
    <n v="3.9"/>
    <n v="8"/>
    <s v="Hostel Verification Team"/>
  </r>
  <r>
    <s v="HST0403"/>
    <s v="New Era Hostel"/>
    <x v="4"/>
    <n v="0.4"/>
    <s v="Single"/>
    <s v="Mixed"/>
    <n v="7500"/>
    <n v="16"/>
    <n v="16"/>
    <n v="6"/>
    <n v="37.5"/>
    <s v="Yes"/>
    <s v="Yes"/>
    <s v="Yes"/>
    <s v="No"/>
    <s v="No"/>
    <x v="0"/>
    <d v="2026-05-01T00:00:00"/>
    <n v="3.2"/>
    <n v="9"/>
    <s v="Hostel Verification Team"/>
  </r>
  <r>
    <s v="HST0404"/>
    <s v="Hilltop Hostel"/>
    <x v="4"/>
    <n v="4.4000000000000004"/>
    <s v="2-in-a-room"/>
    <s v="Mixed"/>
    <n v="4000"/>
    <n v="34"/>
    <n v="68"/>
    <n v="56"/>
    <n v="82.4"/>
    <s v="Yes"/>
    <s v="Yes"/>
    <s v="Yes"/>
    <s v="Yes"/>
    <s v="No"/>
    <x v="0"/>
    <d v="2026-05-25T00:00:00"/>
    <n v="3.4"/>
    <n v="13"/>
    <s v="Hostel Verification Team"/>
  </r>
  <r>
    <s v="HST0405"/>
    <s v="Golden Gate Hostel"/>
    <x v="5"/>
    <n v="2.6"/>
    <s v="2-in-a-room"/>
    <s v="Mixed"/>
    <n v="4500"/>
    <n v="44"/>
    <n v="88"/>
    <n v="87"/>
    <n v="98.9"/>
    <s v="No"/>
    <s v="Yes"/>
    <s v="Yes"/>
    <s v="No"/>
    <s v="Yes"/>
    <x v="0"/>
    <d v="2025-01-15T00:00:00"/>
    <n v="3.4"/>
    <n v="13"/>
    <s v="Hostel Verification Team"/>
  </r>
  <r>
    <s v="HST0406"/>
    <s v="Sunrise Hostel"/>
    <x v="6"/>
    <n v="3.8"/>
    <s v="Single"/>
    <s v="Male"/>
    <n v="9750"/>
    <n v="8"/>
    <n v="8"/>
    <n v="7"/>
    <n v="87.5"/>
    <s v="Yes"/>
    <s v="Yes"/>
    <s v="Yes"/>
    <s v="Yes"/>
    <s v="Yes"/>
    <x v="1"/>
    <d v="2026-03-02T00:00:00"/>
    <n v="3.9"/>
    <n v="2"/>
    <s v="Hostel Verification Team"/>
  </r>
  <r>
    <s v="HST0407"/>
    <s v="Maple Court Hostel"/>
    <x v="3"/>
    <n v="1.4"/>
    <s v="4-in-a-room"/>
    <s v="Male"/>
    <n v="4050"/>
    <n v="45"/>
    <n v="180"/>
    <n v="65"/>
    <n v="36.1"/>
    <s v="No"/>
    <s v="Yes"/>
    <s v="No"/>
    <s v="No"/>
    <s v="Yes"/>
    <x v="2"/>
    <d v="2026-04-20T00:00:00"/>
    <n v="3.4"/>
    <n v="11"/>
    <s v="Hostel Verification Team"/>
  </r>
  <r>
    <s v="HST0408"/>
    <s v="Royal Palm Hostel"/>
    <x v="1"/>
    <n v="6.7"/>
    <s v="3-in-a-room"/>
    <s v="Mixed"/>
    <n v="4500"/>
    <n v="10"/>
    <n v="30"/>
    <n v="19"/>
    <n v="63.3"/>
    <s v="Yes"/>
    <s v="Yes"/>
    <s v="No"/>
    <s v="Yes"/>
    <s v="Yes"/>
    <x v="0"/>
    <d v="2026-03-22T00:00:00"/>
    <n v="3.4"/>
    <n v="1"/>
    <s v="Hostel Verification Team"/>
  </r>
  <r>
    <s v="HST0409"/>
    <s v="Starlight Hostel"/>
    <x v="0"/>
    <n v="1"/>
    <s v="3-in-a-room"/>
    <s v="Female"/>
    <n v="4250"/>
    <n v="10"/>
    <n v="30"/>
    <n v="21"/>
    <n v="70"/>
    <s v="Yes"/>
    <s v="Yes"/>
    <s v="No"/>
    <s v="Yes"/>
    <s v="Yes"/>
    <x v="0"/>
    <d v="2026-01-20T00:00:00"/>
    <n v="4"/>
    <n v="10"/>
    <s v="Hostel Verification Team"/>
  </r>
  <r>
    <s v="HST0410"/>
    <s v="Garden City Hostel"/>
    <x v="5"/>
    <n v="5.7"/>
    <s v="2-in-a-room"/>
    <s v="Female"/>
    <n v="6000"/>
    <n v="30"/>
    <n v="60"/>
    <n v="38"/>
    <n v="63.3"/>
    <s v="Yes"/>
    <s v="Yes"/>
    <s v="Yes"/>
    <s v="No"/>
    <s v="Yes"/>
    <x v="0"/>
    <d v="2026-06-09T00:00:00"/>
    <n v="4.3"/>
    <n v="11"/>
    <s v="Hostel Verification Team"/>
  </r>
  <r>
    <s v="HST0411"/>
    <s v="Maple Court Hostel"/>
    <x v="2"/>
    <n v="3.6"/>
    <s v="3-in-a-room"/>
    <s v="Male"/>
    <n v="4250"/>
    <n v="31"/>
    <n v="93"/>
    <n v="83"/>
    <n v="89.2"/>
    <s v="Yes"/>
    <s v="No"/>
    <s v="Yes"/>
    <s v="Yes"/>
    <s v="No"/>
    <x v="0"/>
    <d v="2025-03-18T00:00:00"/>
    <n v="3.7"/>
    <n v="5"/>
    <s v="Hostel Verification Team"/>
  </r>
  <r>
    <s v="HST0412"/>
    <s v="University Heights Hostel"/>
    <x v="3"/>
    <n v="1"/>
    <s v="2-in-a-room"/>
    <s v="Female"/>
    <n v="7250"/>
    <n v="17"/>
    <n v="34"/>
    <n v="17"/>
    <n v="50"/>
    <s v="Yes"/>
    <s v="No"/>
    <s v="Yes"/>
    <s v="Yes"/>
    <s v="Yes"/>
    <x v="0"/>
    <d v="2026-06-27T00:00:00"/>
    <n v="5"/>
    <n v="11"/>
    <s v="Hostel Verification Team"/>
  </r>
  <r>
    <s v="HST0413"/>
    <s v="Eagle's Nest Hostel"/>
    <x v="0"/>
    <n v="2.2999999999999998"/>
    <s v="Single"/>
    <s v="Female"/>
    <n v="5500"/>
    <n v="22"/>
    <n v="22"/>
    <n v="17"/>
    <n v="77.3"/>
    <s v="No"/>
    <s v="No"/>
    <s v="Yes"/>
    <s v="Yes"/>
    <s v="Yes"/>
    <x v="0"/>
    <d v="2026-03-07T00:00:00"/>
    <n v="2.9"/>
    <n v="9"/>
    <s v="Hostel Verification Team"/>
  </r>
  <r>
    <s v="HST0414"/>
    <s v="University Heights Hostel"/>
    <x v="3"/>
    <n v="1.9"/>
    <s v="3-in-a-room"/>
    <s v="Male"/>
    <n v="3500"/>
    <n v="11"/>
    <n v="33"/>
    <n v="15"/>
    <n v="45.5"/>
    <s v="Yes"/>
    <s v="Yes"/>
    <s v="Yes"/>
    <s v="Yes"/>
    <s v="No"/>
    <x v="0"/>
    <d v="2026-01-06T00:00:00"/>
    <n v="3.5"/>
    <n v="5"/>
    <s v="Hostel Verification Team"/>
  </r>
  <r>
    <s v="HST0415"/>
    <s v="Ocean Breeze Hostel"/>
    <x v="4"/>
    <n v="1.9"/>
    <s v="Single"/>
    <s v="Female"/>
    <n v="8000"/>
    <n v="44"/>
    <n v="44"/>
    <n v="19"/>
    <n v="43.2"/>
    <s v="Yes"/>
    <s v="Yes"/>
    <s v="Yes"/>
    <s v="Yes"/>
    <s v="Yes"/>
    <x v="1"/>
    <d v="2026-04-06T00:00:00"/>
    <n v="4.3"/>
    <n v="10"/>
    <s v="Hostel Verification Team"/>
  </r>
  <r>
    <s v="HST0416"/>
    <s v="Prime Scholars Hostel"/>
    <x v="4"/>
    <n v="4.0999999999999996"/>
    <s v="Single"/>
    <s v="Female"/>
    <n v="5500"/>
    <n v="33"/>
    <n v="33"/>
    <n v="26"/>
    <n v="78.8"/>
    <s v="Yes"/>
    <s v="Yes"/>
    <s v="Yes"/>
    <s v="No"/>
    <s v="Yes"/>
    <x v="0"/>
    <d v="2025-06-07T00:00:00"/>
    <n v="4"/>
    <n v="9"/>
    <s v="Hostel Verification Team"/>
  </r>
  <r>
    <s v="HST0417"/>
    <s v="Scholar's Lodge"/>
    <x v="4"/>
    <n v="6"/>
    <s v="4-in-a-room"/>
    <s v="Male"/>
    <n v="3050"/>
    <n v="15"/>
    <n v="60"/>
    <n v="51"/>
    <n v="85"/>
    <s v="Yes"/>
    <s v="No"/>
    <s v="Yes"/>
    <s v="Yes"/>
    <s v="Yes"/>
    <x v="0"/>
    <d v="2025-02-20T00:00:00"/>
    <n v="3.8"/>
    <n v="7"/>
    <s v="Hostel Verification Team"/>
  </r>
  <r>
    <s v="HST0418"/>
    <s v="Hilltop Hostel"/>
    <x v="5"/>
    <n v="4.5"/>
    <s v="2-in-a-room"/>
    <s v="Female"/>
    <n v="5500"/>
    <n v="20"/>
    <n v="40"/>
    <n v="14"/>
    <n v="35"/>
    <s v="No"/>
    <s v="Yes"/>
    <s v="No"/>
    <s v="No"/>
    <s v="Yes"/>
    <x v="2"/>
    <d v="2025-04-05T00:00:00"/>
    <n v="4.0999999999999996"/>
    <n v="15"/>
    <s v="Hostel Verification Team"/>
  </r>
  <r>
    <s v="HST0419"/>
    <s v="Hilltop Hostel"/>
    <x v="0"/>
    <n v="6.8"/>
    <s v="3-in-a-room"/>
    <s v="Mixed"/>
    <n v="4000"/>
    <n v="17"/>
    <n v="51"/>
    <n v="44"/>
    <n v="86.3"/>
    <s v="Yes"/>
    <s v="Yes"/>
    <s v="Yes"/>
    <s v="No"/>
    <s v="Yes"/>
    <x v="0"/>
    <d v="2026-01-23T00:00:00"/>
    <n v="3.8"/>
    <n v="11"/>
    <s v="Hostel Verification Team"/>
  </r>
  <r>
    <s v="HST0420"/>
    <s v="Royal Palm Hostel"/>
    <x v="5"/>
    <n v="5.5"/>
    <s v="4-in-a-room"/>
    <s v="Mixed"/>
    <n v="4550"/>
    <n v="34"/>
    <n v="136"/>
    <n v="103"/>
    <n v="75.7"/>
    <s v="No"/>
    <s v="Yes"/>
    <s v="No"/>
    <s v="Yes"/>
    <s v="No"/>
    <x v="2"/>
    <d v="2025-11-01T00:00:00"/>
    <n v="4.5999999999999996"/>
    <n v="18"/>
    <s v="Hostel Verification Team"/>
  </r>
  <r>
    <s v="HST0421"/>
    <s v="Royal Palm Hostel"/>
    <x v="4"/>
    <n v="1.7"/>
    <s v="4-in-a-room"/>
    <s v="Male"/>
    <n v="3800"/>
    <n v="29"/>
    <n v="116"/>
    <n v="48"/>
    <n v="41.4"/>
    <s v="Yes"/>
    <s v="No"/>
    <s v="Yes"/>
    <s v="Yes"/>
    <s v="Yes"/>
    <x v="0"/>
    <d v="2026-01-29T00:00:00"/>
    <n v="3.2"/>
    <n v="5"/>
    <s v="Hostel Verification Team"/>
  </r>
  <r>
    <s v="HST0422"/>
    <s v="Peace Haven Hostel"/>
    <x v="4"/>
    <n v="6.3"/>
    <s v="3-in-a-room"/>
    <s v="Male"/>
    <n v="4500"/>
    <n v="39"/>
    <n v="117"/>
    <n v="45"/>
    <n v="38.5"/>
    <s v="No"/>
    <s v="Yes"/>
    <s v="No"/>
    <s v="Yes"/>
    <s v="No"/>
    <x v="2"/>
    <d v="2025-11-15T00:00:00"/>
    <n v="3.7"/>
    <n v="0"/>
    <s v="Hostel Verification Team"/>
  </r>
  <r>
    <s v="HST0423"/>
    <s v="Ocean Breeze Hostel"/>
    <x v="3"/>
    <n v="2.4"/>
    <s v="4-in-a-room"/>
    <s v="Mixed"/>
    <n v="2050"/>
    <n v="26"/>
    <n v="104"/>
    <n v="89"/>
    <n v="85.6"/>
    <s v="Yes"/>
    <s v="Yes"/>
    <s v="Yes"/>
    <s v="No"/>
    <s v="Yes"/>
    <x v="0"/>
    <d v="2025-07-12T00:00:00"/>
    <n v="4.2"/>
    <n v="15"/>
    <s v="Hostel Verification Team"/>
  </r>
  <r>
    <s v="HST0424"/>
    <s v="Starlight Hostel"/>
    <x v="6"/>
    <n v="4.3"/>
    <s v="3-in-a-room"/>
    <s v="Female"/>
    <n v="5000"/>
    <n v="38"/>
    <n v="114"/>
    <n v="54"/>
    <n v="47.4"/>
    <s v="Yes"/>
    <s v="Yes"/>
    <s v="Yes"/>
    <s v="Yes"/>
    <s v="Yes"/>
    <x v="1"/>
    <d v="2026-01-27T00:00:00"/>
    <n v="4"/>
    <n v="10"/>
    <s v="Hostel Verification Team"/>
  </r>
  <r>
    <s v="HST0425"/>
    <s v="Ocean Breeze Hostel"/>
    <x v="7"/>
    <n v="1.4"/>
    <s v="3-in-a-room"/>
    <s v="Male"/>
    <n v="3750"/>
    <n v="34"/>
    <n v="102"/>
    <n v="80"/>
    <n v="78.400000000000006"/>
    <s v="Yes"/>
    <s v="Yes"/>
    <s v="No"/>
    <s v="Yes"/>
    <s v="Yes"/>
    <x v="0"/>
    <d v="2025-02-28T00:00:00"/>
    <n v="4.0999999999999996"/>
    <n v="5"/>
    <s v="Hostel Verification Team"/>
  </r>
  <r>
    <s v="HST0426"/>
    <s v="Prime Scholars Hostel"/>
    <x v="7"/>
    <n v="6.6"/>
    <s v="3-in-a-room"/>
    <s v="Female"/>
    <n v="3500"/>
    <n v="31"/>
    <n v="93"/>
    <n v="38"/>
    <n v="40.9"/>
    <s v="Yes"/>
    <s v="Yes"/>
    <s v="Yes"/>
    <s v="Yes"/>
    <s v="Yes"/>
    <x v="1"/>
    <d v="2026-07-11T00:00:00"/>
    <n v="3.3"/>
    <n v="11"/>
    <s v="Hostel Verification Team"/>
  </r>
  <r>
    <s v="HST0427"/>
    <s v="Kings Court Hostel"/>
    <x v="7"/>
    <n v="6.9"/>
    <s v="2-in-a-room"/>
    <s v="Male"/>
    <n v="4250"/>
    <n v="21"/>
    <n v="42"/>
    <n v="18"/>
    <n v="42.9"/>
    <s v="Yes"/>
    <s v="No"/>
    <s v="No"/>
    <s v="Yes"/>
    <s v="Yes"/>
    <x v="0"/>
    <d v="2026-06-09T00:00:00"/>
    <n v="4.2"/>
    <n v="14"/>
    <s v="Hostel Verification Team"/>
  </r>
  <r>
    <s v="HST0428"/>
    <s v="Campus View Hostel"/>
    <x v="6"/>
    <n v="2.7"/>
    <s v="3-in-a-room"/>
    <s v="Mixed"/>
    <n v="3000"/>
    <n v="36"/>
    <n v="108"/>
    <n v="103"/>
    <n v="95.4"/>
    <s v="Yes"/>
    <s v="Yes"/>
    <s v="Yes"/>
    <s v="Yes"/>
    <s v="Yes"/>
    <x v="1"/>
    <d v="2025-12-26T00:00:00"/>
    <n v="3.9"/>
    <n v="4"/>
    <s v="Hostel Verification Team"/>
  </r>
  <r>
    <s v="HST0429"/>
    <s v="Ocean Breeze Hostel"/>
    <x v="5"/>
    <n v="2.4"/>
    <s v="2-in-a-room"/>
    <s v="Mixed"/>
    <n v="4500"/>
    <n v="13"/>
    <n v="26"/>
    <n v="22"/>
    <n v="84.6"/>
    <s v="No"/>
    <s v="Yes"/>
    <s v="Yes"/>
    <s v="Yes"/>
    <s v="Yes"/>
    <x v="0"/>
    <d v="2025-05-04T00:00:00"/>
    <n v="4.8"/>
    <n v="6"/>
    <s v="Hostel Verification Team"/>
  </r>
  <r>
    <s v="HST0430"/>
    <s v="Garden City Hostel"/>
    <x v="0"/>
    <n v="3.6"/>
    <s v="3-in-a-room"/>
    <s v="Mixed"/>
    <n v="2500"/>
    <n v="12"/>
    <n v="36"/>
    <n v="21"/>
    <n v="58.3"/>
    <s v="Yes"/>
    <s v="Yes"/>
    <s v="No"/>
    <s v="Yes"/>
    <s v="Yes"/>
    <x v="0"/>
    <d v="2025-01-20T00:00:00"/>
    <n v="4.5999999999999996"/>
    <n v="5"/>
    <s v="Hostel Verification Team"/>
  </r>
  <r>
    <s v="HST0431"/>
    <s v="Starlight Hostel"/>
    <x v="0"/>
    <n v="0.9"/>
    <s v="3-in-a-room"/>
    <s v="Mixed"/>
    <n v="4750"/>
    <n v="30"/>
    <n v="90"/>
    <n v="53"/>
    <n v="58.9"/>
    <s v="Yes"/>
    <s v="Yes"/>
    <s v="Yes"/>
    <s v="Yes"/>
    <s v="Yes"/>
    <x v="1"/>
    <d v="2025-06-23T00:00:00"/>
    <n v="4.3"/>
    <n v="6"/>
    <s v="Hostel Verification Team"/>
  </r>
  <r>
    <s v="HST0432"/>
    <s v="Campus View Hostel"/>
    <x v="2"/>
    <n v="6.9"/>
    <s v="4-in-a-room"/>
    <s v="Mixed"/>
    <n v="3050"/>
    <n v="45"/>
    <n v="180"/>
    <n v="85"/>
    <n v="47.2"/>
    <s v="No"/>
    <s v="No"/>
    <s v="Yes"/>
    <s v="Yes"/>
    <s v="Yes"/>
    <x v="0"/>
    <d v="2026-04-05T00:00:00"/>
    <n v="3.9"/>
    <n v="6"/>
    <s v="Hostel Verification Team"/>
  </r>
  <r>
    <s v="HST0433"/>
    <s v="Golden Gate Hostel"/>
    <x v="1"/>
    <n v="1"/>
    <s v="3-in-a-room"/>
    <s v="Female"/>
    <n v="2750"/>
    <n v="37"/>
    <n v="111"/>
    <n v="52"/>
    <n v="46.8"/>
    <s v="Yes"/>
    <s v="Yes"/>
    <s v="Yes"/>
    <s v="Yes"/>
    <s v="No"/>
    <x v="0"/>
    <d v="2026-06-26T00:00:00"/>
    <n v="3.9"/>
    <n v="2"/>
    <s v="Hostel Verification Team"/>
  </r>
  <r>
    <s v="HST0434"/>
    <s v="Eagle's Nest Hostel"/>
    <x v="3"/>
    <n v="5.2"/>
    <s v="4-in-a-room"/>
    <s v="Male"/>
    <n v="2550"/>
    <n v="43"/>
    <n v="172"/>
    <n v="112"/>
    <n v="65.099999999999994"/>
    <s v="No"/>
    <s v="Yes"/>
    <s v="Yes"/>
    <s v="No"/>
    <s v="Yes"/>
    <x v="0"/>
    <d v="2025-11-03T00:00:00"/>
    <n v="4.2"/>
    <n v="5"/>
    <s v="Hostel Verification Team"/>
  </r>
  <r>
    <s v="HST0435"/>
    <s v="Maple Court Hostel"/>
    <x v="2"/>
    <n v="3.1"/>
    <s v="Single"/>
    <s v="Female"/>
    <n v="6250"/>
    <n v="17"/>
    <n v="17"/>
    <n v="11"/>
    <n v="64.7"/>
    <s v="Yes"/>
    <s v="Yes"/>
    <s v="Yes"/>
    <s v="Yes"/>
    <s v="Yes"/>
    <x v="1"/>
    <d v="2026-02-24T00:00:00"/>
    <n v="4.3"/>
    <n v="10"/>
    <s v="Hostel Verification Team"/>
  </r>
  <r>
    <s v="HST0436"/>
    <s v="Sunrise Hostel"/>
    <x v="5"/>
    <n v="6.3"/>
    <s v="4-in-a-room"/>
    <s v="Female"/>
    <n v="2800"/>
    <n v="45"/>
    <n v="180"/>
    <n v="137"/>
    <n v="76.099999999999994"/>
    <s v="No"/>
    <s v="No"/>
    <s v="Yes"/>
    <s v="No"/>
    <s v="Yes"/>
    <x v="2"/>
    <d v="2025-10-16T00:00:00"/>
    <n v="5"/>
    <n v="16"/>
    <s v="Hostel Verification Team"/>
  </r>
  <r>
    <s v="HST0437"/>
    <s v="Ocean Breeze Hostel"/>
    <x v="6"/>
    <n v="1"/>
    <s v="3-in-a-room"/>
    <s v="Female"/>
    <n v="4250"/>
    <n v="39"/>
    <n v="117"/>
    <n v="69"/>
    <n v="59"/>
    <s v="Yes"/>
    <s v="Yes"/>
    <s v="No"/>
    <s v="Yes"/>
    <s v="Yes"/>
    <x v="0"/>
    <d v="2025-05-27T00:00:00"/>
    <n v="3.4"/>
    <n v="15"/>
    <s v="Hostel Verification Team"/>
  </r>
  <r>
    <s v="HST0438"/>
    <s v="Hilltop Hostel"/>
    <x v="7"/>
    <n v="1.3"/>
    <s v="Single"/>
    <s v="Female"/>
    <n v="11500"/>
    <n v="12"/>
    <n v="12"/>
    <n v="12"/>
    <n v="100"/>
    <s v="No"/>
    <s v="No"/>
    <s v="Yes"/>
    <s v="No"/>
    <s v="Yes"/>
    <x v="2"/>
    <d v="2026-05-29T00:00:00"/>
    <n v="2.7"/>
    <n v="16"/>
    <s v="Hostel Verification Team"/>
  </r>
  <r>
    <s v="HST0439"/>
    <s v="Prime Scholars Hostel"/>
    <x v="7"/>
    <n v="6.1"/>
    <s v="Single"/>
    <s v="Mixed"/>
    <n v="11500"/>
    <n v="10"/>
    <n v="10"/>
    <n v="9"/>
    <n v="90"/>
    <s v="No"/>
    <s v="No"/>
    <s v="Yes"/>
    <s v="No"/>
    <s v="No"/>
    <x v="2"/>
    <d v="2025-05-11T00:00:00"/>
    <n v="4.3"/>
    <n v="14"/>
    <s v="Hostel Verification Team"/>
  </r>
  <r>
    <s v="HST0440"/>
    <s v="Scholar's Lodge"/>
    <x v="4"/>
    <n v="3.8"/>
    <s v="2-in-a-room"/>
    <s v="Female"/>
    <n v="5750"/>
    <n v="32"/>
    <n v="64"/>
    <n v="53"/>
    <n v="82.8"/>
    <s v="Yes"/>
    <s v="Yes"/>
    <s v="Yes"/>
    <s v="No"/>
    <s v="No"/>
    <x v="0"/>
    <d v="2025-05-02T00:00:00"/>
    <n v="4.0999999999999996"/>
    <n v="12"/>
    <s v="Hostel Verification Team"/>
  </r>
  <r>
    <s v="HST0441"/>
    <s v="Maple Court Hostel"/>
    <x v="1"/>
    <n v="4.7"/>
    <s v="3-in-a-room"/>
    <s v="Female"/>
    <n v="5500"/>
    <n v="26"/>
    <n v="78"/>
    <n v="47"/>
    <n v="60.3"/>
    <s v="Yes"/>
    <s v="Yes"/>
    <s v="Yes"/>
    <s v="Yes"/>
    <s v="Yes"/>
    <x v="1"/>
    <d v="2025-03-13T00:00:00"/>
    <n v="5"/>
    <n v="18"/>
    <s v="Hostel Verification Team"/>
  </r>
  <r>
    <s v="HST0442"/>
    <s v="Comfort Zone Hostel"/>
    <x v="2"/>
    <n v="3.3"/>
    <s v="3-in-a-room"/>
    <s v="Female"/>
    <n v="4000"/>
    <n v="30"/>
    <n v="90"/>
    <n v="34"/>
    <n v="37.799999999999997"/>
    <s v="Yes"/>
    <s v="Yes"/>
    <s v="No"/>
    <s v="Yes"/>
    <s v="Yes"/>
    <x v="0"/>
    <d v="2025-09-17T00:00:00"/>
    <n v="4.2"/>
    <n v="2"/>
    <s v="Hostel Verification Team"/>
  </r>
  <r>
    <s v="HST0443"/>
    <s v="Sunrise Hostel"/>
    <x v="7"/>
    <n v="1.4"/>
    <s v="3-in-a-room"/>
    <s v="Mixed"/>
    <n v="2500"/>
    <n v="37"/>
    <n v="111"/>
    <n v="92"/>
    <n v="82.9"/>
    <s v="No"/>
    <s v="Yes"/>
    <s v="Yes"/>
    <s v="No"/>
    <s v="Yes"/>
    <x v="0"/>
    <d v="2026-06-21T00:00:00"/>
    <n v="3.6"/>
    <n v="10"/>
    <s v="Hostel Verification Team"/>
  </r>
  <r>
    <s v="HST0444"/>
    <s v="Sunrise Hostel"/>
    <x v="6"/>
    <n v="0.9"/>
    <s v="2-in-a-room"/>
    <s v="Mixed"/>
    <n v="6000"/>
    <n v="39"/>
    <n v="78"/>
    <n v="59"/>
    <n v="75.599999999999994"/>
    <s v="No"/>
    <s v="Yes"/>
    <s v="Yes"/>
    <s v="Yes"/>
    <s v="Yes"/>
    <x v="0"/>
    <d v="2025-12-23T00:00:00"/>
    <n v="4.4000000000000004"/>
    <n v="15"/>
    <s v="Hostel Verification Team"/>
  </r>
  <r>
    <s v="HST0445"/>
    <s v="Royal Palm Hostel"/>
    <x v="5"/>
    <n v="2.2999999999999998"/>
    <s v="Single"/>
    <s v="Female"/>
    <n v="7750"/>
    <n v="44"/>
    <n v="44"/>
    <n v="27"/>
    <n v="61.4"/>
    <s v="Yes"/>
    <s v="Yes"/>
    <s v="No"/>
    <s v="Yes"/>
    <s v="Yes"/>
    <x v="0"/>
    <d v="2025-08-29T00:00:00"/>
    <n v="3.4"/>
    <n v="2"/>
    <s v="Hostel Verification Team"/>
  </r>
  <r>
    <s v="HST0446"/>
    <s v="Peace Haven Hostel"/>
    <x v="7"/>
    <n v="6"/>
    <s v="3-in-a-room"/>
    <s v="Female"/>
    <n v="4500"/>
    <n v="27"/>
    <n v="81"/>
    <n v="55"/>
    <n v="67.900000000000006"/>
    <s v="No"/>
    <s v="Yes"/>
    <s v="Yes"/>
    <s v="Yes"/>
    <s v="Yes"/>
    <x v="0"/>
    <d v="2026-07-16T00:00:00"/>
    <n v="3.7"/>
    <n v="16"/>
    <s v="Hostel Verification Team"/>
  </r>
  <r>
    <s v="HST0447"/>
    <s v="Prime Scholars Hostel"/>
    <x v="4"/>
    <n v="6.6"/>
    <s v="2-in-a-room"/>
    <s v="Mixed"/>
    <n v="7250"/>
    <n v="21"/>
    <n v="42"/>
    <n v="35"/>
    <n v="83.3"/>
    <s v="Yes"/>
    <s v="Yes"/>
    <s v="No"/>
    <s v="Yes"/>
    <s v="No"/>
    <x v="0"/>
    <d v="2026-05-03T00:00:00"/>
    <n v="3.6"/>
    <n v="11"/>
    <s v="Hostel Verification Team"/>
  </r>
  <r>
    <s v="HST0448"/>
    <s v="Scholar's Lodge"/>
    <x v="1"/>
    <n v="3.2"/>
    <s v="Single"/>
    <s v="Female"/>
    <n v="10500"/>
    <n v="21"/>
    <n v="21"/>
    <n v="20"/>
    <n v="95.2"/>
    <s v="Yes"/>
    <s v="Yes"/>
    <s v="No"/>
    <s v="Yes"/>
    <s v="Yes"/>
    <x v="0"/>
    <d v="2026-03-08T00:00:00"/>
    <n v="4.0999999999999996"/>
    <n v="7"/>
    <s v="Hostel Verification Team"/>
  </r>
  <r>
    <s v="HST0449"/>
    <s v="Golden Gate Hostel"/>
    <x v="2"/>
    <n v="1.3"/>
    <s v="Single"/>
    <s v="Female"/>
    <n v="7250"/>
    <n v="27"/>
    <n v="27"/>
    <n v="23"/>
    <n v="85.2"/>
    <s v="Yes"/>
    <s v="Yes"/>
    <s v="No"/>
    <s v="No"/>
    <s v="No"/>
    <x v="2"/>
    <d v="2026-05-22T00:00:00"/>
    <n v="4"/>
    <n v="5"/>
    <s v="Hostel Verification Team"/>
  </r>
  <r>
    <s v="HST0450"/>
    <s v="Prime Scholars Hostel"/>
    <x v="4"/>
    <n v="4.9000000000000004"/>
    <s v="Single"/>
    <s v="Female"/>
    <n v="11250"/>
    <n v="39"/>
    <n v="39"/>
    <n v="38"/>
    <n v="97.4"/>
    <s v="Yes"/>
    <s v="Yes"/>
    <s v="Yes"/>
    <s v="Yes"/>
    <s v="Yes"/>
    <x v="1"/>
    <d v="2025-01-30T00:00:00"/>
    <n v="4.0999999999999996"/>
    <n v="13"/>
    <s v="Hostel Verification Team"/>
  </r>
  <r>
    <s v="HST0451"/>
    <s v="Royal Palm Hostel"/>
    <x v="1"/>
    <n v="7.1"/>
    <s v="2-in-a-room"/>
    <s v="Mixed"/>
    <n v="5250"/>
    <n v="15"/>
    <n v="30"/>
    <n v="28"/>
    <n v="93.3"/>
    <s v="Yes"/>
    <s v="Yes"/>
    <s v="Yes"/>
    <s v="Yes"/>
    <s v="Yes"/>
    <x v="1"/>
    <d v="2026-06-06T00:00:00"/>
    <n v="4.0999999999999996"/>
    <n v="3"/>
    <s v="Hostel Verification Team"/>
  </r>
  <r>
    <s v="HST0452"/>
    <s v="Comfort Zone Hostel"/>
    <x v="5"/>
    <n v="7"/>
    <s v="2-in-a-room"/>
    <s v="Mixed"/>
    <n v="4500"/>
    <n v="14"/>
    <n v="28"/>
    <n v="14"/>
    <n v="50"/>
    <s v="Yes"/>
    <s v="Yes"/>
    <s v="Yes"/>
    <s v="Yes"/>
    <s v="No"/>
    <x v="0"/>
    <d v="2025-08-17T00:00:00"/>
    <n v="3.5"/>
    <n v="15"/>
    <s v="Hostel Verification Team"/>
  </r>
  <r>
    <s v="HST0453"/>
    <s v="Starlight Hostel"/>
    <x v="2"/>
    <n v="2.5"/>
    <s v="4-in-a-room"/>
    <s v="Male"/>
    <n v="3550"/>
    <n v="23"/>
    <n v="92"/>
    <n v="49"/>
    <n v="53.3"/>
    <s v="Yes"/>
    <s v="Yes"/>
    <s v="No"/>
    <s v="Yes"/>
    <s v="No"/>
    <x v="0"/>
    <d v="2025-06-07T00:00:00"/>
    <n v="3.3"/>
    <n v="0"/>
    <s v="Hostel Verification Team"/>
  </r>
  <r>
    <s v="HST0454"/>
    <s v="Green Valley Hostel"/>
    <x v="5"/>
    <n v="2"/>
    <s v="4-in-a-room"/>
    <s v="Female"/>
    <n v="2800"/>
    <n v="31"/>
    <n v="124"/>
    <n v="58"/>
    <n v="46.8"/>
    <s v="Yes"/>
    <s v="No"/>
    <s v="Yes"/>
    <s v="Yes"/>
    <s v="No"/>
    <x v="0"/>
    <d v="2026-07-11T00:00:00"/>
    <n v="3.1"/>
    <n v="8"/>
    <s v="Hostel Verification Team"/>
  </r>
  <r>
    <s v="HST0455"/>
    <s v="Royal Palm Hostel"/>
    <x v="5"/>
    <n v="2.4"/>
    <s v="2-in-a-room"/>
    <s v="Male"/>
    <n v="7000"/>
    <n v="28"/>
    <n v="56"/>
    <n v="45"/>
    <n v="80.400000000000006"/>
    <s v="No"/>
    <s v="No"/>
    <s v="Yes"/>
    <s v="Yes"/>
    <s v="Yes"/>
    <x v="0"/>
    <d v="2025-02-13T00:00:00"/>
    <n v="3.8"/>
    <n v="10"/>
    <s v="Hostel Verification Team"/>
  </r>
  <r>
    <s v="HST0456"/>
    <s v="University Heights Hostel"/>
    <x v="3"/>
    <n v="3.9"/>
    <s v="3-in-a-room"/>
    <s v="Male"/>
    <n v="4000"/>
    <n v="43"/>
    <n v="129"/>
    <n v="86"/>
    <n v="66.7"/>
    <s v="Yes"/>
    <s v="No"/>
    <s v="No"/>
    <s v="Yes"/>
    <s v="Yes"/>
    <x v="0"/>
    <d v="2026-04-19T00:00:00"/>
    <n v="2.9"/>
    <n v="4"/>
    <s v="Hostel Verification Team"/>
  </r>
  <r>
    <s v="HST0457"/>
    <s v="Comfort Zone Hostel"/>
    <x v="5"/>
    <n v="4.8"/>
    <s v="3-in-a-room"/>
    <s v="Female"/>
    <n v="4750"/>
    <n v="13"/>
    <n v="39"/>
    <n v="16"/>
    <n v="41"/>
    <s v="No"/>
    <s v="Yes"/>
    <s v="No"/>
    <s v="Yes"/>
    <s v="Yes"/>
    <x v="0"/>
    <d v="2025-06-20T00:00:00"/>
    <n v="3.1"/>
    <n v="14"/>
    <s v="Hostel Verification Team"/>
  </r>
  <r>
    <s v="HST0458"/>
    <s v="University Heights Hostel"/>
    <x v="7"/>
    <n v="6"/>
    <s v="2-in-a-room"/>
    <s v="Mixed"/>
    <n v="4000"/>
    <n v="34"/>
    <n v="68"/>
    <n v="46"/>
    <n v="67.599999999999994"/>
    <s v="Yes"/>
    <s v="Yes"/>
    <s v="No"/>
    <s v="No"/>
    <s v="No"/>
    <x v="2"/>
    <d v="2025-07-15T00:00:00"/>
    <n v="4.0999999999999996"/>
    <n v="0"/>
    <s v="Hostel Verification Team"/>
  </r>
  <r>
    <s v="HST0459"/>
    <s v="Hilltop Hostel"/>
    <x v="5"/>
    <n v="6.8"/>
    <s v="4-in-a-room"/>
    <s v="Mixed"/>
    <n v="2550"/>
    <n v="24"/>
    <n v="96"/>
    <n v="54"/>
    <n v="56.2"/>
    <s v="Yes"/>
    <s v="Yes"/>
    <s v="No"/>
    <s v="No"/>
    <s v="No"/>
    <x v="2"/>
    <d v="2025-03-01T00:00:00"/>
    <n v="4.3"/>
    <n v="2"/>
    <s v="Hostel Verification Team"/>
  </r>
  <r>
    <s v="HST0460"/>
    <s v="Sunrise Hostel"/>
    <x v="0"/>
    <n v="5.4"/>
    <s v="4-in-a-room"/>
    <s v="Male"/>
    <n v="3550"/>
    <n v="39"/>
    <n v="156"/>
    <n v="69"/>
    <n v="44.2"/>
    <s v="Yes"/>
    <s v="No"/>
    <s v="Yes"/>
    <s v="Yes"/>
    <s v="Yes"/>
    <x v="0"/>
    <d v="2025-08-27T00:00:00"/>
    <n v="3.9"/>
    <n v="12"/>
    <s v="Hostel Verification Team"/>
  </r>
  <r>
    <s v="HST0461"/>
    <s v="Kings Court Hostel"/>
    <x v="5"/>
    <n v="4.5999999999999996"/>
    <s v="3-in-a-room"/>
    <s v="Female"/>
    <n v="5250"/>
    <n v="20"/>
    <n v="60"/>
    <n v="47"/>
    <n v="78.3"/>
    <s v="Yes"/>
    <s v="Yes"/>
    <s v="Yes"/>
    <s v="No"/>
    <s v="Yes"/>
    <x v="0"/>
    <d v="2025-07-13T00:00:00"/>
    <n v="3.1"/>
    <n v="7"/>
    <s v="Hostel Verification Team"/>
  </r>
  <r>
    <s v="HST0462"/>
    <s v="Garden City Hostel"/>
    <x v="6"/>
    <n v="0.8"/>
    <s v="4-in-a-room"/>
    <s v="Mixed"/>
    <n v="2300"/>
    <n v="28"/>
    <n v="112"/>
    <n v="89"/>
    <n v="79.5"/>
    <s v="Yes"/>
    <s v="Yes"/>
    <s v="No"/>
    <s v="No"/>
    <s v="No"/>
    <x v="2"/>
    <d v="2025-08-15T00:00:00"/>
    <n v="3.2"/>
    <n v="3"/>
    <s v="Hostel Verification Team"/>
  </r>
  <r>
    <s v="HST0463"/>
    <s v="Green Valley Hostel"/>
    <x v="0"/>
    <n v="2.6"/>
    <s v="2-in-a-room"/>
    <s v="Mixed"/>
    <n v="7250"/>
    <n v="30"/>
    <n v="60"/>
    <n v="59"/>
    <n v="98.3"/>
    <s v="No"/>
    <s v="Yes"/>
    <s v="No"/>
    <s v="Yes"/>
    <s v="Yes"/>
    <x v="0"/>
    <d v="2025-02-25T00:00:00"/>
    <n v="3.9"/>
    <n v="12"/>
    <s v="Hostel Verification Team"/>
  </r>
  <r>
    <s v="HST0464"/>
    <s v="Green Valley Hostel"/>
    <x v="4"/>
    <n v="2.1"/>
    <s v="4-in-a-room"/>
    <s v="Male"/>
    <n v="3050"/>
    <n v="37"/>
    <n v="148"/>
    <n v="67"/>
    <n v="45.3"/>
    <s v="Yes"/>
    <s v="Yes"/>
    <s v="Yes"/>
    <s v="Yes"/>
    <s v="No"/>
    <x v="0"/>
    <d v="2025-04-11T00:00:00"/>
    <n v="3.7"/>
    <n v="10"/>
    <s v="Hostel Verification Team"/>
  </r>
  <r>
    <s v="HST0465"/>
    <s v="Ocean Breeze Hostel"/>
    <x v="6"/>
    <n v="6.6"/>
    <s v="3-in-a-room"/>
    <s v="Female"/>
    <n v="5250"/>
    <n v="31"/>
    <n v="93"/>
    <n v="91"/>
    <n v="97.8"/>
    <s v="Yes"/>
    <s v="Yes"/>
    <s v="No"/>
    <s v="Yes"/>
    <s v="Yes"/>
    <x v="0"/>
    <d v="2026-03-26T00:00:00"/>
    <n v="4.4000000000000004"/>
    <n v="13"/>
    <s v="Hostel Verification Team"/>
  </r>
  <r>
    <s v="HST0466"/>
    <s v="Ocean Breeze Hostel"/>
    <x v="6"/>
    <n v="0.6"/>
    <s v="2-in-a-room"/>
    <s v="Female"/>
    <n v="3750"/>
    <n v="22"/>
    <n v="44"/>
    <n v="20"/>
    <n v="45.5"/>
    <s v="No"/>
    <s v="No"/>
    <s v="Yes"/>
    <s v="No"/>
    <s v="Yes"/>
    <x v="2"/>
    <d v="2025-02-15T00:00:00"/>
    <n v="3.7"/>
    <n v="3"/>
    <s v="Hostel Verification Team"/>
  </r>
  <r>
    <s v="HST0467"/>
    <s v="Green Valley Hostel"/>
    <x v="6"/>
    <n v="2.8"/>
    <s v="4-in-a-room"/>
    <s v="Female"/>
    <n v="3550"/>
    <n v="39"/>
    <n v="156"/>
    <n v="68"/>
    <n v="43.6"/>
    <s v="Yes"/>
    <s v="Yes"/>
    <s v="Yes"/>
    <s v="Yes"/>
    <s v="Yes"/>
    <x v="1"/>
    <d v="2025-06-10T00:00:00"/>
    <n v="4.5"/>
    <n v="5"/>
    <s v="Hostel Verification Team"/>
  </r>
  <r>
    <s v="HST0468"/>
    <s v="Garden City Hostel"/>
    <x v="5"/>
    <n v="4.5"/>
    <s v="Single"/>
    <s v="Female"/>
    <n v="9500"/>
    <n v="44"/>
    <n v="44"/>
    <n v="20"/>
    <n v="45.5"/>
    <s v="Yes"/>
    <s v="Yes"/>
    <s v="Yes"/>
    <s v="Yes"/>
    <s v="Yes"/>
    <x v="1"/>
    <d v="2026-03-12T00:00:00"/>
    <n v="3.2"/>
    <n v="0"/>
    <s v="Hostel Verification Team"/>
  </r>
  <r>
    <s v="HST0469"/>
    <s v="Sunrise Hostel"/>
    <x v="1"/>
    <n v="2.9"/>
    <s v="Single"/>
    <s v="Male"/>
    <n v="12000"/>
    <n v="28"/>
    <n v="28"/>
    <n v="13"/>
    <n v="46.4"/>
    <s v="No"/>
    <s v="No"/>
    <s v="No"/>
    <s v="Yes"/>
    <s v="No"/>
    <x v="2"/>
    <d v="2025-02-08T00:00:00"/>
    <n v="4"/>
    <n v="8"/>
    <s v="Hostel Verification Team"/>
  </r>
  <r>
    <s v="HST0470"/>
    <s v="Hilltop Hostel"/>
    <x v="6"/>
    <n v="2.6"/>
    <s v="2-in-a-room"/>
    <s v="Female"/>
    <n v="5000"/>
    <n v="11"/>
    <n v="22"/>
    <n v="16"/>
    <n v="72.7"/>
    <s v="No"/>
    <s v="Yes"/>
    <s v="No"/>
    <s v="Yes"/>
    <s v="Yes"/>
    <x v="0"/>
    <d v="2025-12-06T00:00:00"/>
    <n v="4"/>
    <n v="12"/>
    <s v="Hostel Verification Team"/>
  </r>
  <r>
    <s v="HST0471"/>
    <s v="University Heights Hostel"/>
    <x v="5"/>
    <n v="7.2"/>
    <s v="4-in-a-room"/>
    <s v="Female"/>
    <n v="2050"/>
    <n v="9"/>
    <n v="36"/>
    <n v="18"/>
    <n v="50"/>
    <s v="Yes"/>
    <s v="Yes"/>
    <s v="Yes"/>
    <s v="No"/>
    <s v="No"/>
    <x v="0"/>
    <d v="2025-06-25T00:00:00"/>
    <n v="3.4"/>
    <n v="9"/>
    <s v="Hostel Verification Team"/>
  </r>
  <r>
    <s v="HST0472"/>
    <s v="Hilltop Hostel"/>
    <x v="4"/>
    <n v="2.8"/>
    <s v="Single"/>
    <s v="Mixed"/>
    <n v="12000"/>
    <n v="31"/>
    <n v="31"/>
    <n v="26"/>
    <n v="83.9"/>
    <s v="No"/>
    <s v="Yes"/>
    <s v="Yes"/>
    <s v="No"/>
    <s v="No"/>
    <x v="2"/>
    <d v="2025-08-02T00:00:00"/>
    <n v="4"/>
    <n v="18"/>
    <s v="Hostel Verification Team"/>
  </r>
  <r>
    <s v="HST0473"/>
    <s v="Kings Court Hostel"/>
    <x v="2"/>
    <n v="5.7"/>
    <s v="3-in-a-room"/>
    <s v="Female"/>
    <n v="4750"/>
    <n v="19"/>
    <n v="57"/>
    <n v="46"/>
    <n v="80.7"/>
    <s v="Yes"/>
    <s v="No"/>
    <s v="No"/>
    <s v="Yes"/>
    <s v="Yes"/>
    <x v="0"/>
    <d v="2026-03-22T00:00:00"/>
    <n v="3.5"/>
    <n v="7"/>
    <s v="Hostel Verification Team"/>
  </r>
  <r>
    <s v="HST0474"/>
    <s v="Victory Hostel"/>
    <x v="2"/>
    <n v="2.2999999999999998"/>
    <s v="4-in-a-room"/>
    <s v="Male"/>
    <n v="2050"/>
    <n v="38"/>
    <n v="152"/>
    <n v="91"/>
    <n v="59.9"/>
    <s v="No"/>
    <s v="Yes"/>
    <s v="Yes"/>
    <s v="Yes"/>
    <s v="Yes"/>
    <x v="0"/>
    <d v="2025-06-11T00:00:00"/>
    <n v="3.3"/>
    <n v="18"/>
    <s v="Hostel Verification Team"/>
  </r>
  <r>
    <s v="HST0475"/>
    <s v="Prime Scholars Hostel"/>
    <x v="2"/>
    <n v="6.9"/>
    <s v="Single"/>
    <s v="Female"/>
    <n v="9500"/>
    <n v="35"/>
    <n v="35"/>
    <n v="25"/>
    <n v="71.400000000000006"/>
    <s v="Yes"/>
    <s v="Yes"/>
    <s v="Yes"/>
    <s v="No"/>
    <s v="Yes"/>
    <x v="0"/>
    <d v="2025-04-16T00:00:00"/>
    <n v="4.9000000000000004"/>
    <n v="16"/>
    <s v="Hostel Verification Team"/>
  </r>
  <r>
    <s v="HST0476"/>
    <s v="University Heights Hostel"/>
    <x v="4"/>
    <n v="6.4"/>
    <s v="Single"/>
    <s v="Male"/>
    <n v="6000"/>
    <n v="34"/>
    <n v="34"/>
    <n v="33"/>
    <n v="97.1"/>
    <s v="No"/>
    <s v="Yes"/>
    <s v="No"/>
    <s v="Yes"/>
    <s v="No"/>
    <x v="2"/>
    <d v="2025-11-10T00:00:00"/>
    <n v="4.0999999999999996"/>
    <n v="10"/>
    <s v="Hostel Verification Team"/>
  </r>
  <r>
    <s v="HST0477"/>
    <s v="Peace Haven Hostel"/>
    <x v="4"/>
    <n v="0.8"/>
    <s v="3-in-a-room"/>
    <s v="Female"/>
    <n v="5000"/>
    <n v="14"/>
    <n v="42"/>
    <n v="27"/>
    <n v="64.3"/>
    <s v="Yes"/>
    <s v="Yes"/>
    <s v="Yes"/>
    <s v="Yes"/>
    <s v="Yes"/>
    <x v="1"/>
    <d v="2026-07-11T00:00:00"/>
    <n v="3.7"/>
    <n v="5"/>
    <s v="Hostel Verification Team"/>
  </r>
  <r>
    <s v="HST0478"/>
    <s v="Hilltop Hostel"/>
    <x v="6"/>
    <n v="2.4"/>
    <s v="3-in-a-room"/>
    <s v="Mixed"/>
    <n v="5250"/>
    <n v="33"/>
    <n v="99"/>
    <n v="72"/>
    <n v="72.7"/>
    <s v="Yes"/>
    <s v="Yes"/>
    <s v="Yes"/>
    <s v="Yes"/>
    <s v="Yes"/>
    <x v="1"/>
    <d v="2025-04-09T00:00:00"/>
    <n v="3.5"/>
    <n v="0"/>
    <s v="Hostel Verification Team"/>
  </r>
  <r>
    <s v="HST0479"/>
    <s v="Peace Haven Hostel"/>
    <x v="0"/>
    <n v="1.7"/>
    <s v="2-in-a-room"/>
    <s v="Male"/>
    <n v="5250"/>
    <n v="35"/>
    <n v="70"/>
    <n v="64"/>
    <n v="91.4"/>
    <s v="No"/>
    <s v="Yes"/>
    <s v="Yes"/>
    <s v="Yes"/>
    <s v="Yes"/>
    <x v="0"/>
    <d v="2026-07-15T00:00:00"/>
    <n v="3.8"/>
    <n v="15"/>
    <s v="Hostel Verification Team"/>
  </r>
  <r>
    <s v="HST0480"/>
    <s v="Eagle's Nest Hostel"/>
    <x v="6"/>
    <n v="3.6"/>
    <s v="4-in-a-room"/>
    <s v="Female"/>
    <n v="4050"/>
    <n v="23"/>
    <n v="92"/>
    <n v="44"/>
    <n v="47.8"/>
    <s v="Yes"/>
    <s v="Yes"/>
    <s v="Yes"/>
    <s v="No"/>
    <s v="Yes"/>
    <x v="0"/>
    <d v="2025-11-07T00:00:00"/>
    <n v="4.0999999999999996"/>
    <n v="13"/>
    <s v="Hostel Verification Team"/>
  </r>
  <r>
    <s v="HST0481"/>
    <s v="Maple Court Hostel"/>
    <x v="3"/>
    <n v="0.5"/>
    <s v="4-in-a-room"/>
    <s v="Mixed"/>
    <n v="3550"/>
    <n v="40"/>
    <n v="160"/>
    <n v="131"/>
    <n v="81.900000000000006"/>
    <s v="Yes"/>
    <s v="No"/>
    <s v="No"/>
    <s v="Yes"/>
    <s v="Yes"/>
    <x v="0"/>
    <d v="2026-05-24T00:00:00"/>
    <n v="3.9"/>
    <n v="18"/>
    <s v="Hostel Verification Team"/>
  </r>
  <r>
    <s v="HST0482"/>
    <s v="Kings Court Hostel"/>
    <x v="6"/>
    <n v="1.1000000000000001"/>
    <s v="3-in-a-room"/>
    <s v="Mixed"/>
    <n v="4250"/>
    <n v="35"/>
    <n v="105"/>
    <n v="38"/>
    <n v="36.200000000000003"/>
    <s v="Yes"/>
    <s v="No"/>
    <s v="Yes"/>
    <s v="Yes"/>
    <s v="Yes"/>
    <x v="0"/>
    <d v="2025-06-24T00:00:00"/>
    <n v="4.2"/>
    <n v="7"/>
    <s v="Hostel Verification Team"/>
  </r>
  <r>
    <s v="HST0483"/>
    <s v="Golden Gate Hostel"/>
    <x v="7"/>
    <n v="6.9"/>
    <s v="4-in-a-room"/>
    <s v="Male"/>
    <n v="2300"/>
    <n v="26"/>
    <n v="104"/>
    <n v="85"/>
    <n v="81.7"/>
    <s v="Yes"/>
    <s v="Yes"/>
    <s v="Yes"/>
    <s v="Yes"/>
    <s v="No"/>
    <x v="0"/>
    <d v="2026-03-12T00:00:00"/>
    <n v="3.9"/>
    <n v="2"/>
    <s v="Hostel Verification Team"/>
  </r>
  <r>
    <s v="HST0484"/>
    <s v="University Heights Hostel"/>
    <x v="6"/>
    <n v="0.9"/>
    <s v="4-in-a-room"/>
    <s v="Male"/>
    <n v="3550"/>
    <n v="27"/>
    <n v="108"/>
    <n v="67"/>
    <n v="62"/>
    <s v="Yes"/>
    <s v="Yes"/>
    <s v="Yes"/>
    <s v="Yes"/>
    <s v="Yes"/>
    <x v="1"/>
    <d v="2025-08-12T00:00:00"/>
    <n v="3.7"/>
    <n v="5"/>
    <s v="Hostel Verification Team"/>
  </r>
  <r>
    <s v="HST0485"/>
    <s v="Victory Hostel"/>
    <x v="0"/>
    <n v="6.1"/>
    <s v="3-in-a-room"/>
    <s v="Mixed"/>
    <n v="4000"/>
    <n v="15"/>
    <n v="45"/>
    <n v="34"/>
    <n v="75.599999999999994"/>
    <s v="Yes"/>
    <s v="Yes"/>
    <s v="Yes"/>
    <s v="Yes"/>
    <s v="Yes"/>
    <x v="1"/>
    <d v="2025-08-30T00:00:00"/>
    <n v="4.0999999999999996"/>
    <n v="11"/>
    <s v="Hostel Verification Team"/>
  </r>
  <r>
    <s v="HST0486"/>
    <s v="Blue Sky Hostel"/>
    <x v="4"/>
    <n v="6.4"/>
    <s v="Single"/>
    <s v="Male"/>
    <n v="11000"/>
    <n v="11"/>
    <n v="11"/>
    <n v="10"/>
    <n v="90.9"/>
    <s v="Yes"/>
    <s v="Yes"/>
    <s v="No"/>
    <s v="Yes"/>
    <s v="Yes"/>
    <x v="0"/>
    <d v="2026-04-23T00:00:00"/>
    <n v="3.1"/>
    <n v="16"/>
    <s v="Hostel Verification Team"/>
  </r>
  <r>
    <s v="HST0487"/>
    <s v="University Heights Hostel"/>
    <x v="2"/>
    <n v="6.6"/>
    <s v="3-in-a-room"/>
    <s v="Female"/>
    <n v="3000"/>
    <n v="26"/>
    <n v="78"/>
    <n v="72"/>
    <n v="92.3"/>
    <s v="Yes"/>
    <s v="Yes"/>
    <s v="Yes"/>
    <s v="No"/>
    <s v="Yes"/>
    <x v="0"/>
    <d v="2026-04-07T00:00:00"/>
    <n v="4.3"/>
    <n v="4"/>
    <s v="Hostel Verification Team"/>
  </r>
  <r>
    <s v="HST0488"/>
    <s v="Campus View Hostel"/>
    <x v="5"/>
    <n v="6.3"/>
    <s v="4-in-a-room"/>
    <s v="Male"/>
    <n v="3050"/>
    <n v="26"/>
    <n v="104"/>
    <n v="100"/>
    <n v="96.2"/>
    <s v="No"/>
    <s v="Yes"/>
    <s v="Yes"/>
    <s v="Yes"/>
    <s v="Yes"/>
    <x v="0"/>
    <d v="2025-07-04T00:00:00"/>
    <n v="4.3"/>
    <n v="7"/>
    <s v="Hostel Verification Team"/>
  </r>
  <r>
    <s v="HST0489"/>
    <s v="Victory Hostel"/>
    <x v="1"/>
    <n v="5.9"/>
    <s v="2-in-a-room"/>
    <s v="Female"/>
    <n v="6750"/>
    <n v="34"/>
    <n v="68"/>
    <n v="49"/>
    <n v="72.099999999999994"/>
    <s v="Yes"/>
    <s v="Yes"/>
    <s v="Yes"/>
    <s v="Yes"/>
    <s v="Yes"/>
    <x v="1"/>
    <d v="2026-04-24T00:00:00"/>
    <n v="4.2"/>
    <n v="16"/>
    <s v="Hostel Verification Team"/>
  </r>
  <r>
    <s v="HST0490"/>
    <s v="Comfort Zone Hostel"/>
    <x v="4"/>
    <n v="3.4"/>
    <s v="4-in-a-room"/>
    <s v="Male"/>
    <n v="1800"/>
    <n v="17"/>
    <n v="68"/>
    <n v="59"/>
    <n v="86.8"/>
    <s v="Yes"/>
    <s v="Yes"/>
    <s v="Yes"/>
    <s v="Yes"/>
    <s v="No"/>
    <x v="0"/>
    <d v="2025-03-10T00:00:00"/>
    <n v="3.9"/>
    <n v="11"/>
    <s v="Hostel Verification Team"/>
  </r>
  <r>
    <s v="HST0491"/>
    <s v="Blue Sky Hostel"/>
    <x v="4"/>
    <n v="5.3"/>
    <s v="4-in-a-room"/>
    <s v="Mixed"/>
    <n v="4300"/>
    <n v="21"/>
    <n v="84"/>
    <n v="63"/>
    <n v="75"/>
    <s v="Yes"/>
    <s v="Yes"/>
    <s v="Yes"/>
    <s v="Yes"/>
    <s v="No"/>
    <x v="0"/>
    <d v="2026-04-07T00:00:00"/>
    <n v="3.5"/>
    <n v="1"/>
    <s v="Hostel Verification Team"/>
  </r>
  <r>
    <s v="HST0492"/>
    <s v="Ocean Breeze Hostel"/>
    <x v="3"/>
    <n v="1.8"/>
    <s v="3-in-a-room"/>
    <s v="Mixed"/>
    <n v="4500"/>
    <n v="29"/>
    <n v="87"/>
    <n v="78"/>
    <n v="89.7"/>
    <s v="Yes"/>
    <s v="Yes"/>
    <s v="No"/>
    <s v="Yes"/>
    <s v="Yes"/>
    <x v="0"/>
    <d v="2025-06-22T00:00:00"/>
    <n v="3.9"/>
    <n v="9"/>
    <s v="Hostel Verification Team"/>
  </r>
  <r>
    <s v="HST0493"/>
    <s v="Kings Court Hostel"/>
    <x v="2"/>
    <n v="5.5"/>
    <s v="3-in-a-room"/>
    <s v="Mixed"/>
    <n v="3500"/>
    <n v="40"/>
    <n v="120"/>
    <n v="87"/>
    <n v="72.5"/>
    <s v="Yes"/>
    <s v="Yes"/>
    <s v="Yes"/>
    <s v="Yes"/>
    <s v="Yes"/>
    <x v="1"/>
    <d v="2025-05-16T00:00:00"/>
    <n v="3.8"/>
    <n v="14"/>
    <s v="Hostel Verification Team"/>
  </r>
  <r>
    <s v="HST0494"/>
    <s v="Garden City Hostel"/>
    <x v="5"/>
    <n v="2.8"/>
    <s v="3-in-a-room"/>
    <s v="Female"/>
    <n v="5000"/>
    <n v="44"/>
    <n v="132"/>
    <n v="132"/>
    <n v="100"/>
    <s v="Yes"/>
    <s v="Yes"/>
    <s v="Yes"/>
    <s v="No"/>
    <s v="Yes"/>
    <x v="0"/>
    <d v="2025-06-02T00:00:00"/>
    <n v="4.3"/>
    <n v="11"/>
    <s v="Hostel Verification Team"/>
  </r>
  <r>
    <s v="HST0495"/>
    <s v="Sunrise Hostel"/>
    <x v="4"/>
    <n v="5.4"/>
    <s v="4-in-a-room"/>
    <s v="Mixed"/>
    <n v="2050"/>
    <n v="13"/>
    <n v="52"/>
    <n v="21"/>
    <n v="40.4"/>
    <s v="No"/>
    <s v="Yes"/>
    <s v="Yes"/>
    <s v="Yes"/>
    <s v="No"/>
    <x v="0"/>
    <d v="2026-03-21T00:00:00"/>
    <n v="3.8"/>
    <n v="11"/>
    <s v="Hostel Verification Team"/>
  </r>
  <r>
    <s v="HST0496"/>
    <s v="Victory Hostel"/>
    <x v="1"/>
    <n v="6.6"/>
    <s v="4-in-a-room"/>
    <s v="Male"/>
    <n v="4300"/>
    <n v="35"/>
    <n v="140"/>
    <n v="105"/>
    <n v="75"/>
    <s v="Yes"/>
    <s v="No"/>
    <s v="Yes"/>
    <s v="No"/>
    <s v="Yes"/>
    <x v="0"/>
    <d v="2026-05-26T00:00:00"/>
    <n v="3.5"/>
    <n v="14"/>
    <s v="Hostel Verification Team"/>
  </r>
  <r>
    <s v="HST0497"/>
    <s v="Victory Hostel"/>
    <x v="2"/>
    <n v="5.3"/>
    <s v="4-in-a-room"/>
    <s v="Mixed"/>
    <n v="3550"/>
    <n v="10"/>
    <n v="40"/>
    <n v="37"/>
    <n v="92.5"/>
    <s v="No"/>
    <s v="Yes"/>
    <s v="No"/>
    <s v="Yes"/>
    <s v="Yes"/>
    <x v="0"/>
    <d v="2025-06-19T00:00:00"/>
    <n v="3.7"/>
    <n v="3"/>
    <s v="Hostel Verification Team"/>
  </r>
  <r>
    <s v="HST0498"/>
    <s v="Ocean Breeze Hostel"/>
    <x v="2"/>
    <n v="2.9"/>
    <s v="3-in-a-room"/>
    <s v="Female"/>
    <n v="3500"/>
    <n v="26"/>
    <n v="78"/>
    <n v="58"/>
    <n v="74.400000000000006"/>
    <s v="No"/>
    <s v="Yes"/>
    <s v="No"/>
    <s v="Yes"/>
    <s v="Yes"/>
    <x v="0"/>
    <d v="2025-02-07T00:00:00"/>
    <n v="4.3"/>
    <n v="9"/>
    <s v="Hostel Verification Team"/>
  </r>
  <r>
    <s v="HST0499"/>
    <s v="Peace Haven Hostel"/>
    <x v="4"/>
    <n v="6.2"/>
    <s v="4-in-a-room"/>
    <s v="Female"/>
    <n v="1800"/>
    <n v="15"/>
    <n v="60"/>
    <n v="56"/>
    <n v="93.3"/>
    <s v="No"/>
    <s v="Yes"/>
    <s v="Yes"/>
    <s v="Yes"/>
    <s v="Yes"/>
    <x v="0"/>
    <d v="2026-01-02T00:00:00"/>
    <n v="3.5"/>
    <n v="18"/>
    <s v="Hostel Verification Team"/>
  </r>
  <r>
    <s v="HST0500"/>
    <s v="Maple Court Hostel"/>
    <x v="4"/>
    <n v="5.8"/>
    <s v="4-in-a-room"/>
    <s v="Mixed"/>
    <n v="3550"/>
    <n v="36"/>
    <n v="144"/>
    <n v="69"/>
    <n v="47.9"/>
    <s v="Yes"/>
    <s v="No"/>
    <s v="Yes"/>
    <s v="Yes"/>
    <s v="No"/>
    <x v="0"/>
    <d v="2025-12-09T00:00:00"/>
    <n v="4.0999999999999996"/>
    <n v="10"/>
    <s v="Hostel Verification Te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91719-F746-4B8A-BEC0-6A1DB0FA7686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21">
    <pivotField dataField="1" showAll="0"/>
    <pivotField showAll="0"/>
    <pivotField axis="axisRow" showAll="0">
      <items count="9">
        <item x="7"/>
        <item x="0"/>
        <item x="1"/>
        <item x="5"/>
        <item x="4"/>
        <item x="2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Hostel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36AC7-E06F-4439-9AAC-1DA3AC111B9E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0" firstHeaderRow="1" firstDataRow="1" firstDataCol="1"/>
  <pivotFields count="21">
    <pivotField showAll="0"/>
    <pivotField showAll="0"/>
    <pivotField axis="axisRow" showAll="0">
      <items count="9">
        <item x="7"/>
        <item x="0"/>
        <item x="1"/>
        <item x="5"/>
        <item x="4"/>
        <item x="2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Annual_Rent_GHS" fld="6" subtotal="average" baseField="2" baseItem="0"/>
  </dataFields>
  <formats count="2">
    <format dxfId="5">
      <pivotArea collapsedLevelsAreSubtotals="1" fieldPosition="0">
        <references count="1">
          <reference field="2" count="0"/>
        </references>
      </pivotArea>
    </format>
    <format dxfId="3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1B2F0-75BB-43D5-B5BB-84B1D68D17C7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5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14"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ostel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501" totalsRowShown="0">
  <autoFilter ref="A1:U501" xr:uid="{00000000-0009-0000-0100-000001000000}"/>
  <tableColumns count="21">
    <tableColumn id="1" xr3:uid="{00000000-0010-0000-0000-000001000000}" name="Hostel_ID"/>
    <tableColumn id="2" xr3:uid="{00000000-0010-0000-0000-000002000000}" name="Hostel_Name"/>
    <tableColumn id="3" xr3:uid="{00000000-0010-0000-0000-000003000000}" name="Location"/>
    <tableColumn id="4" xr3:uid="{00000000-0010-0000-0000-000004000000}" name="Distance_from_Campus_km"/>
    <tableColumn id="5" xr3:uid="{00000000-0010-0000-0000-000005000000}" name="Room_Type"/>
    <tableColumn id="6" xr3:uid="{00000000-0010-0000-0000-000006000000}" name="Gender"/>
    <tableColumn id="7" xr3:uid="{00000000-0010-0000-0000-000007000000}" name="Annual_Rent_GHS"/>
    <tableColumn id="8" xr3:uid="{00000000-0010-0000-0000-000008000000}" name="Number_of_Rooms"/>
    <tableColumn id="9" xr3:uid="{00000000-0010-0000-0000-000009000000}" name="Total_Beds"/>
    <tableColumn id="10" xr3:uid="{00000000-0010-0000-0000-00000A000000}" name="Occupied_Beds"/>
    <tableColumn id="11" xr3:uid="{00000000-0010-0000-0000-00000B000000}" name="Occupancy_Rate_%"/>
    <tableColumn id="12" xr3:uid="{00000000-0010-0000-0000-00000C000000}" name="Water_Available"/>
    <tableColumn id="13" xr3:uid="{00000000-0010-0000-0000-00000D000000}" name="Electricity_Available"/>
    <tableColumn id="14" xr3:uid="{00000000-0010-0000-0000-00000E000000}" name="Fire_Safety_Equipment"/>
    <tableColumn id="15" xr3:uid="{00000000-0010-0000-0000-00000F000000}" name="Documents_Verified"/>
    <tableColumn id="16" xr3:uid="{00000000-0010-0000-0000-000010000000}" name="Physical_Inspection_Passed"/>
    <tableColumn id="17" xr3:uid="{00000000-0010-0000-0000-000011000000}" name="Verification_Status"/>
    <tableColumn id="18" xr3:uid="{00000000-0010-0000-0000-000012000000}" name="Inspection_Date" dataDxfId="11"/>
    <tableColumn id="19" xr3:uid="{00000000-0010-0000-0000-000013000000}" name="Student_Rating"/>
    <tableColumn id="20" xr3:uid="{00000000-0010-0000-0000-000014000000}" name="Reported_Complaints"/>
    <tableColumn id="21" xr3:uid="{00000000-0010-0000-0000-000015000000}" name="Last_Verified_B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2F0B-63C8-487D-B208-C76BD8D35532}">
  <dimension ref="A1:B10"/>
  <sheetViews>
    <sheetView workbookViewId="0">
      <selection activeCell="G3" sqref="G3"/>
    </sheetView>
  </sheetViews>
  <sheetFormatPr defaultRowHeight="14.4" x14ac:dyDescent="0.3"/>
  <cols>
    <col min="1" max="1" width="13.44140625" bestFit="1" customWidth="1"/>
    <col min="2" max="2" width="16.88671875" bestFit="1" customWidth="1"/>
  </cols>
  <sheetData>
    <row r="1" spans="1:2" x14ac:dyDescent="0.3">
      <c r="A1" s="4" t="s">
        <v>575</v>
      </c>
      <c r="B1" t="s">
        <v>577</v>
      </c>
    </row>
    <row r="2" spans="1:2" x14ac:dyDescent="0.3">
      <c r="A2" s="5" t="s">
        <v>81</v>
      </c>
      <c r="B2" s="6">
        <v>46</v>
      </c>
    </row>
    <row r="3" spans="1:2" x14ac:dyDescent="0.3">
      <c r="A3" s="5" t="s">
        <v>23</v>
      </c>
      <c r="B3" s="6">
        <v>55</v>
      </c>
    </row>
    <row r="4" spans="1:2" x14ac:dyDescent="0.3">
      <c r="A4" s="5" t="s">
        <v>32</v>
      </c>
      <c r="B4" s="6">
        <v>54</v>
      </c>
    </row>
    <row r="5" spans="1:2" x14ac:dyDescent="0.3">
      <c r="A5" s="5" t="s">
        <v>47</v>
      </c>
      <c r="B5" s="6">
        <v>66</v>
      </c>
    </row>
    <row r="6" spans="1:2" x14ac:dyDescent="0.3">
      <c r="A6" s="5" t="s">
        <v>44</v>
      </c>
      <c r="B6" s="6">
        <v>77</v>
      </c>
    </row>
    <row r="7" spans="1:2" x14ac:dyDescent="0.3">
      <c r="A7" s="5" t="s">
        <v>38</v>
      </c>
      <c r="B7" s="6">
        <v>61</v>
      </c>
    </row>
    <row r="8" spans="1:2" x14ac:dyDescent="0.3">
      <c r="A8" s="5" t="s">
        <v>41</v>
      </c>
      <c r="B8" s="6">
        <v>76</v>
      </c>
    </row>
    <row r="9" spans="1:2" x14ac:dyDescent="0.3">
      <c r="A9" s="5" t="s">
        <v>64</v>
      </c>
      <c r="B9" s="6">
        <v>65</v>
      </c>
    </row>
    <row r="10" spans="1:2" x14ac:dyDescent="0.3">
      <c r="A10" s="5" t="s">
        <v>576</v>
      </c>
      <c r="B10" s="6">
        <v>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4B6DA-B048-4B3A-B210-D2F8A452248A}">
  <dimension ref="A1:B10"/>
  <sheetViews>
    <sheetView workbookViewId="0">
      <selection activeCell="E34" sqref="E34"/>
    </sheetView>
  </sheetViews>
  <sheetFormatPr defaultRowHeight="14.4" x14ac:dyDescent="0.3"/>
  <cols>
    <col min="1" max="1" width="13.44140625" bestFit="1" customWidth="1"/>
    <col min="2" max="2" width="26.33203125" bestFit="1" customWidth="1"/>
  </cols>
  <sheetData>
    <row r="1" spans="1:2" x14ac:dyDescent="0.3">
      <c r="A1" s="4" t="s">
        <v>575</v>
      </c>
      <c r="B1" t="s">
        <v>578</v>
      </c>
    </row>
    <row r="2" spans="1:2" x14ac:dyDescent="0.3">
      <c r="A2" s="5" t="s">
        <v>81</v>
      </c>
      <c r="B2" s="3">
        <v>4989.130434782609</v>
      </c>
    </row>
    <row r="3" spans="1:2" x14ac:dyDescent="0.3">
      <c r="A3" s="5" t="s">
        <v>23</v>
      </c>
      <c r="B3" s="3">
        <v>5510</v>
      </c>
    </row>
    <row r="4" spans="1:2" x14ac:dyDescent="0.3">
      <c r="A4" s="5" t="s">
        <v>32</v>
      </c>
      <c r="B4" s="3">
        <v>5783.333333333333</v>
      </c>
    </row>
    <row r="5" spans="1:2" x14ac:dyDescent="0.3">
      <c r="A5" s="5" t="s">
        <v>47</v>
      </c>
      <c r="B5" s="3">
        <v>4809.090909090909</v>
      </c>
    </row>
    <row r="6" spans="1:2" x14ac:dyDescent="0.3">
      <c r="A6" s="5" t="s">
        <v>44</v>
      </c>
      <c r="B6" s="3">
        <v>5193.5064935064938</v>
      </c>
    </row>
    <row r="7" spans="1:2" x14ac:dyDescent="0.3">
      <c r="A7" s="5" t="s">
        <v>38</v>
      </c>
      <c r="B7" s="3">
        <v>5192.622950819672</v>
      </c>
    </row>
    <row r="8" spans="1:2" x14ac:dyDescent="0.3">
      <c r="A8" s="5" t="s">
        <v>41</v>
      </c>
      <c r="B8" s="3">
        <v>5233.5526315789475</v>
      </c>
    </row>
    <row r="9" spans="1:2" x14ac:dyDescent="0.3">
      <c r="A9" s="5" t="s">
        <v>64</v>
      </c>
      <c r="B9" s="3">
        <v>4947.6923076923076</v>
      </c>
    </row>
    <row r="10" spans="1:2" x14ac:dyDescent="0.3">
      <c r="A10" s="5" t="s">
        <v>576</v>
      </c>
      <c r="B10" s="3">
        <v>5196.5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80D4-58B1-4057-A2EA-687BBCB8D851}">
  <dimension ref="A1:B5"/>
  <sheetViews>
    <sheetView workbookViewId="0">
      <selection activeCell="C34" sqref="C33:C34"/>
    </sheetView>
  </sheetViews>
  <sheetFormatPr defaultRowHeight="14.4" x14ac:dyDescent="0.3"/>
  <cols>
    <col min="1" max="1" width="13.77734375" bestFit="1" customWidth="1"/>
    <col min="2" max="2" width="16.88671875" bestFit="1" customWidth="1"/>
  </cols>
  <sheetData>
    <row r="1" spans="1:2" x14ac:dyDescent="0.3">
      <c r="A1" s="4" t="s">
        <v>575</v>
      </c>
      <c r="B1" t="s">
        <v>577</v>
      </c>
    </row>
    <row r="2" spans="1:2" x14ac:dyDescent="0.3">
      <c r="A2" s="5" t="s">
        <v>65</v>
      </c>
      <c r="B2" s="6">
        <v>68</v>
      </c>
    </row>
    <row r="3" spans="1:2" x14ac:dyDescent="0.3">
      <c r="A3" s="5" t="s">
        <v>28</v>
      </c>
      <c r="B3" s="6">
        <v>332</v>
      </c>
    </row>
    <row r="4" spans="1:2" x14ac:dyDescent="0.3">
      <c r="A4" s="5" t="s">
        <v>35</v>
      </c>
      <c r="B4" s="6">
        <v>100</v>
      </c>
    </row>
    <row r="5" spans="1:2" x14ac:dyDescent="0.3">
      <c r="A5" s="5" t="s">
        <v>576</v>
      </c>
      <c r="B5" s="6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zoomScale="107" zoomScaleNormal="107" workbookViewId="0">
      <pane ySplit="1" topLeftCell="A23" activePane="bottomLeft" state="frozen"/>
      <selection pane="bottomLeft" activeCell="C24" sqref="C24"/>
    </sheetView>
  </sheetViews>
  <sheetFormatPr defaultRowHeight="14.4" x14ac:dyDescent="0.3"/>
  <cols>
    <col min="1" max="1" width="13.109375" customWidth="1"/>
    <col min="2" max="2" width="20.6640625" customWidth="1"/>
    <col min="3" max="3" width="14.6640625" customWidth="1"/>
    <col min="4" max="4" width="28.21875" customWidth="1"/>
    <col min="5" max="5" width="19.21875" customWidth="1"/>
    <col min="7" max="7" width="18.6640625" customWidth="1"/>
    <col min="8" max="8" width="20.44140625" customWidth="1"/>
    <col min="9" max="9" width="17.109375" customWidth="1"/>
    <col min="10" max="10" width="21.109375" customWidth="1"/>
    <col min="11" max="11" width="20.77734375" customWidth="1"/>
    <col min="12" max="12" width="16.33203125" customWidth="1"/>
    <col min="13" max="13" width="19.21875" customWidth="1"/>
    <col min="14" max="14" width="21.6640625" customWidth="1"/>
    <col min="15" max="15" width="19.44140625" customWidth="1"/>
    <col min="16" max="16" width="25.33203125" customWidth="1"/>
    <col min="17" max="17" width="18.33203125" customWidth="1"/>
    <col min="18" max="18" width="16.21875" style="7" customWidth="1"/>
    <col min="19" max="19" width="16.21875" customWidth="1"/>
    <col min="20" max="20" width="20.5546875" customWidth="1"/>
    <col min="21" max="21" width="23" customWidth="1"/>
  </cols>
  <sheetData>
    <row r="1" spans="1:21" ht="19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7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5.6</v>
      </c>
      <c r="E2" t="s">
        <v>24</v>
      </c>
      <c r="F2" t="s">
        <v>25</v>
      </c>
      <c r="G2">
        <v>5250</v>
      </c>
      <c r="H2">
        <v>16</v>
      </c>
      <c r="I2">
        <v>32</v>
      </c>
      <c r="J2">
        <v>14</v>
      </c>
      <c r="K2">
        <v>43.8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28</v>
      </c>
      <c r="R2" s="7">
        <v>46225</v>
      </c>
      <c r="S2">
        <v>4.0999999999999996</v>
      </c>
      <c r="T2">
        <v>6</v>
      </c>
      <c r="U2" t="s">
        <v>29</v>
      </c>
    </row>
    <row r="3" spans="1:21" x14ac:dyDescent="0.3">
      <c r="A3" t="s">
        <v>30</v>
      </c>
      <c r="B3" t="s">
        <v>31</v>
      </c>
      <c r="C3" t="s">
        <v>32</v>
      </c>
      <c r="D3">
        <v>1.8</v>
      </c>
      <c r="E3" t="s">
        <v>33</v>
      </c>
      <c r="F3" t="s">
        <v>34</v>
      </c>
      <c r="G3">
        <v>5500</v>
      </c>
      <c r="H3">
        <v>8</v>
      </c>
      <c r="I3">
        <v>24</v>
      </c>
      <c r="J3">
        <v>13</v>
      </c>
      <c r="K3">
        <v>54.2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35</v>
      </c>
      <c r="R3" s="7">
        <v>46099</v>
      </c>
      <c r="S3">
        <v>4.7</v>
      </c>
      <c r="T3">
        <v>3</v>
      </c>
      <c r="U3" t="s">
        <v>29</v>
      </c>
    </row>
    <row r="4" spans="1:21" x14ac:dyDescent="0.3">
      <c r="A4" t="s">
        <v>36</v>
      </c>
      <c r="B4" t="s">
        <v>37</v>
      </c>
      <c r="C4" t="s">
        <v>38</v>
      </c>
      <c r="D4">
        <v>2.8</v>
      </c>
      <c r="E4" t="s">
        <v>33</v>
      </c>
      <c r="F4" t="s">
        <v>25</v>
      </c>
      <c r="G4">
        <v>4750</v>
      </c>
      <c r="H4">
        <v>24</v>
      </c>
      <c r="I4">
        <v>72</v>
      </c>
      <c r="J4">
        <v>27</v>
      </c>
      <c r="K4">
        <v>37.5</v>
      </c>
      <c r="L4" t="s">
        <v>26</v>
      </c>
      <c r="M4" t="s">
        <v>26</v>
      </c>
      <c r="N4" t="s">
        <v>26</v>
      </c>
      <c r="O4" t="s">
        <v>26</v>
      </c>
      <c r="P4" t="s">
        <v>27</v>
      </c>
      <c r="Q4" t="s">
        <v>28</v>
      </c>
      <c r="R4" s="7">
        <v>46137</v>
      </c>
      <c r="S4">
        <v>4.0999999999999996</v>
      </c>
      <c r="T4">
        <v>18</v>
      </c>
      <c r="U4" t="s">
        <v>29</v>
      </c>
    </row>
    <row r="5" spans="1:21" x14ac:dyDescent="0.3">
      <c r="A5" t="s">
        <v>39</v>
      </c>
      <c r="B5" t="s">
        <v>40</v>
      </c>
      <c r="C5" t="s">
        <v>41</v>
      </c>
      <c r="D5">
        <v>7.4</v>
      </c>
      <c r="E5" t="s">
        <v>24</v>
      </c>
      <c r="F5" t="s">
        <v>25</v>
      </c>
      <c r="G5">
        <v>4250</v>
      </c>
      <c r="H5">
        <v>32</v>
      </c>
      <c r="I5">
        <v>64</v>
      </c>
      <c r="J5">
        <v>39</v>
      </c>
      <c r="K5">
        <v>60.9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35</v>
      </c>
      <c r="R5" s="7">
        <v>46131</v>
      </c>
      <c r="S5">
        <v>4.2</v>
      </c>
      <c r="T5">
        <v>8</v>
      </c>
      <c r="U5" t="s">
        <v>29</v>
      </c>
    </row>
    <row r="6" spans="1:21" x14ac:dyDescent="0.3">
      <c r="A6" t="s">
        <v>42</v>
      </c>
      <c r="B6" t="s">
        <v>43</v>
      </c>
      <c r="C6" t="s">
        <v>44</v>
      </c>
      <c r="D6">
        <v>4.0999999999999996</v>
      </c>
      <c r="E6" t="s">
        <v>24</v>
      </c>
      <c r="F6" t="s">
        <v>25</v>
      </c>
      <c r="G6">
        <v>4750</v>
      </c>
      <c r="H6">
        <v>37</v>
      </c>
      <c r="I6">
        <v>74</v>
      </c>
      <c r="J6">
        <v>49</v>
      </c>
      <c r="K6">
        <v>66.2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35</v>
      </c>
      <c r="R6" s="7">
        <v>45943</v>
      </c>
      <c r="S6">
        <v>3.8</v>
      </c>
      <c r="T6">
        <v>10</v>
      </c>
      <c r="U6" t="s">
        <v>29</v>
      </c>
    </row>
    <row r="7" spans="1:21" x14ac:dyDescent="0.3">
      <c r="A7" t="s">
        <v>45</v>
      </c>
      <c r="B7" t="s">
        <v>46</v>
      </c>
      <c r="C7" t="s">
        <v>47</v>
      </c>
      <c r="D7">
        <v>5</v>
      </c>
      <c r="E7" t="s">
        <v>48</v>
      </c>
      <c r="F7" t="s">
        <v>49</v>
      </c>
      <c r="G7">
        <v>4300</v>
      </c>
      <c r="H7">
        <v>37</v>
      </c>
      <c r="I7">
        <v>148</v>
      </c>
      <c r="J7">
        <v>69</v>
      </c>
      <c r="K7">
        <v>46.6</v>
      </c>
      <c r="L7" t="s">
        <v>26</v>
      </c>
      <c r="M7" t="s">
        <v>27</v>
      </c>
      <c r="N7" t="s">
        <v>27</v>
      </c>
      <c r="O7" t="s">
        <v>26</v>
      </c>
      <c r="P7" t="s">
        <v>26</v>
      </c>
      <c r="Q7" t="s">
        <v>28</v>
      </c>
      <c r="R7" s="7">
        <v>45938</v>
      </c>
      <c r="S7">
        <v>4.0999999999999996</v>
      </c>
      <c r="T7">
        <v>18</v>
      </c>
      <c r="U7" t="s">
        <v>29</v>
      </c>
    </row>
    <row r="8" spans="1:21" x14ac:dyDescent="0.3">
      <c r="A8" t="s">
        <v>50</v>
      </c>
      <c r="B8" t="s">
        <v>51</v>
      </c>
      <c r="C8" t="s">
        <v>47</v>
      </c>
      <c r="D8">
        <v>7.5</v>
      </c>
      <c r="E8" t="s">
        <v>24</v>
      </c>
      <c r="F8" t="s">
        <v>49</v>
      </c>
      <c r="G8">
        <v>7500</v>
      </c>
      <c r="H8">
        <v>39</v>
      </c>
      <c r="I8">
        <v>78</v>
      </c>
      <c r="J8">
        <v>32</v>
      </c>
      <c r="K8">
        <v>41</v>
      </c>
      <c r="L8" t="s">
        <v>26</v>
      </c>
      <c r="M8" t="s">
        <v>27</v>
      </c>
      <c r="N8" t="s">
        <v>27</v>
      </c>
      <c r="O8" t="s">
        <v>26</v>
      </c>
      <c r="P8" t="s">
        <v>26</v>
      </c>
      <c r="Q8" t="s">
        <v>28</v>
      </c>
      <c r="R8" s="7">
        <v>45715</v>
      </c>
      <c r="S8">
        <v>3.4</v>
      </c>
      <c r="T8">
        <v>2</v>
      </c>
      <c r="U8" t="s">
        <v>29</v>
      </c>
    </row>
    <row r="9" spans="1:21" x14ac:dyDescent="0.3">
      <c r="A9" t="s">
        <v>52</v>
      </c>
      <c r="B9" t="s">
        <v>53</v>
      </c>
      <c r="C9" t="s">
        <v>41</v>
      </c>
      <c r="D9">
        <v>7.3</v>
      </c>
      <c r="E9" t="s">
        <v>54</v>
      </c>
      <c r="F9" t="s">
        <v>49</v>
      </c>
      <c r="G9">
        <v>10750</v>
      </c>
      <c r="H9">
        <v>15</v>
      </c>
      <c r="I9">
        <v>15</v>
      </c>
      <c r="J9">
        <v>15</v>
      </c>
      <c r="K9">
        <v>100</v>
      </c>
      <c r="L9" t="s">
        <v>26</v>
      </c>
      <c r="M9" t="s">
        <v>27</v>
      </c>
      <c r="N9" t="s">
        <v>26</v>
      </c>
      <c r="O9" t="s">
        <v>26</v>
      </c>
      <c r="P9" t="s">
        <v>26</v>
      </c>
      <c r="Q9" t="s">
        <v>28</v>
      </c>
      <c r="R9" s="7">
        <v>46216</v>
      </c>
      <c r="S9">
        <v>4.5</v>
      </c>
      <c r="T9">
        <v>5</v>
      </c>
      <c r="U9" t="s">
        <v>29</v>
      </c>
    </row>
    <row r="10" spans="1:21" x14ac:dyDescent="0.3">
      <c r="A10" t="s">
        <v>55</v>
      </c>
      <c r="B10" t="s">
        <v>56</v>
      </c>
      <c r="C10" t="s">
        <v>41</v>
      </c>
      <c r="D10">
        <v>7.3</v>
      </c>
      <c r="E10" t="s">
        <v>24</v>
      </c>
      <c r="F10" t="s">
        <v>49</v>
      </c>
      <c r="G10">
        <v>7500</v>
      </c>
      <c r="H10">
        <v>14</v>
      </c>
      <c r="I10">
        <v>28</v>
      </c>
      <c r="J10">
        <v>18</v>
      </c>
      <c r="K10">
        <v>64.3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35</v>
      </c>
      <c r="R10" s="7">
        <v>46186</v>
      </c>
      <c r="S10">
        <v>3.7</v>
      </c>
      <c r="T10">
        <v>10</v>
      </c>
      <c r="U10" t="s">
        <v>29</v>
      </c>
    </row>
    <row r="11" spans="1:21" x14ac:dyDescent="0.3">
      <c r="A11" t="s">
        <v>57</v>
      </c>
      <c r="B11" t="s">
        <v>58</v>
      </c>
      <c r="C11" t="s">
        <v>47</v>
      </c>
      <c r="D11">
        <v>0.6</v>
      </c>
      <c r="E11" t="s">
        <v>54</v>
      </c>
      <c r="F11" t="s">
        <v>25</v>
      </c>
      <c r="G11">
        <v>6000</v>
      </c>
      <c r="H11">
        <v>39</v>
      </c>
      <c r="I11">
        <v>39</v>
      </c>
      <c r="J11">
        <v>39</v>
      </c>
      <c r="K11">
        <v>100</v>
      </c>
      <c r="L11" t="s">
        <v>27</v>
      </c>
      <c r="M11" t="s">
        <v>26</v>
      </c>
      <c r="N11" t="s">
        <v>27</v>
      </c>
      <c r="O11" t="s">
        <v>26</v>
      </c>
      <c r="P11" t="s">
        <v>26</v>
      </c>
      <c r="Q11" t="s">
        <v>28</v>
      </c>
      <c r="R11" s="7">
        <v>45737</v>
      </c>
      <c r="S11">
        <v>4</v>
      </c>
      <c r="T11">
        <v>8</v>
      </c>
      <c r="U11" t="s">
        <v>29</v>
      </c>
    </row>
    <row r="12" spans="1:21" x14ac:dyDescent="0.3">
      <c r="A12" t="s">
        <v>59</v>
      </c>
      <c r="B12" t="s">
        <v>60</v>
      </c>
      <c r="C12" t="s">
        <v>32</v>
      </c>
      <c r="D12">
        <v>7.2</v>
      </c>
      <c r="E12" t="s">
        <v>24</v>
      </c>
      <c r="F12" t="s">
        <v>34</v>
      </c>
      <c r="G12">
        <v>5750</v>
      </c>
      <c r="H12">
        <v>33</v>
      </c>
      <c r="I12">
        <v>66</v>
      </c>
      <c r="J12">
        <v>65</v>
      </c>
      <c r="K12">
        <v>98.5</v>
      </c>
      <c r="L12" t="s">
        <v>26</v>
      </c>
      <c r="M12" t="s">
        <v>26</v>
      </c>
      <c r="N12" t="s">
        <v>26</v>
      </c>
      <c r="O12" t="s">
        <v>27</v>
      </c>
      <c r="P12" t="s">
        <v>27</v>
      </c>
      <c r="Q12" t="s">
        <v>28</v>
      </c>
      <c r="R12" s="7">
        <v>46049</v>
      </c>
      <c r="S12">
        <v>3.6</v>
      </c>
      <c r="T12">
        <v>2</v>
      </c>
      <c r="U12" t="s">
        <v>29</v>
      </c>
    </row>
    <row r="13" spans="1:21" x14ac:dyDescent="0.3">
      <c r="A13" t="s">
        <v>61</v>
      </c>
      <c r="B13" t="s">
        <v>62</v>
      </c>
      <c r="C13" t="s">
        <v>47</v>
      </c>
      <c r="D13">
        <v>0.3</v>
      </c>
      <c r="E13" t="s">
        <v>54</v>
      </c>
      <c r="F13" t="s">
        <v>34</v>
      </c>
      <c r="G13">
        <v>7250</v>
      </c>
      <c r="H13">
        <v>12</v>
      </c>
      <c r="I13">
        <v>12</v>
      </c>
      <c r="J13">
        <v>4</v>
      </c>
      <c r="K13">
        <v>33.299999999999997</v>
      </c>
      <c r="L13" t="s">
        <v>27</v>
      </c>
      <c r="M13" t="s">
        <v>26</v>
      </c>
      <c r="N13" t="s">
        <v>26</v>
      </c>
      <c r="O13" t="s">
        <v>26</v>
      </c>
      <c r="P13" t="s">
        <v>26</v>
      </c>
      <c r="Q13" t="s">
        <v>28</v>
      </c>
      <c r="R13" s="7">
        <v>46005</v>
      </c>
      <c r="S13">
        <v>4.5999999999999996</v>
      </c>
      <c r="T13">
        <v>17</v>
      </c>
      <c r="U13" t="s">
        <v>29</v>
      </c>
    </row>
    <row r="14" spans="1:21" x14ac:dyDescent="0.3">
      <c r="A14" t="s">
        <v>63</v>
      </c>
      <c r="B14" t="s">
        <v>62</v>
      </c>
      <c r="C14" t="s">
        <v>64</v>
      </c>
      <c r="D14">
        <v>2</v>
      </c>
      <c r="E14" t="s">
        <v>48</v>
      </c>
      <c r="F14" t="s">
        <v>34</v>
      </c>
      <c r="G14">
        <v>3300</v>
      </c>
      <c r="H14">
        <v>20</v>
      </c>
      <c r="I14">
        <v>80</v>
      </c>
      <c r="J14">
        <v>34</v>
      </c>
      <c r="K14">
        <v>42.5</v>
      </c>
      <c r="L14" t="s">
        <v>27</v>
      </c>
      <c r="M14" t="s">
        <v>27</v>
      </c>
      <c r="N14" t="s">
        <v>26</v>
      </c>
      <c r="O14" t="s">
        <v>27</v>
      </c>
      <c r="P14" t="s">
        <v>26</v>
      </c>
      <c r="Q14" t="s">
        <v>65</v>
      </c>
      <c r="R14" s="7">
        <v>45766</v>
      </c>
      <c r="S14">
        <v>3.3</v>
      </c>
      <c r="T14">
        <v>1</v>
      </c>
      <c r="U14" t="s">
        <v>29</v>
      </c>
    </row>
    <row r="15" spans="1:21" x14ac:dyDescent="0.3">
      <c r="A15" t="s">
        <v>66</v>
      </c>
      <c r="B15" t="s">
        <v>67</v>
      </c>
      <c r="C15" t="s">
        <v>32</v>
      </c>
      <c r="D15">
        <v>5.5</v>
      </c>
      <c r="E15" t="s">
        <v>54</v>
      </c>
      <c r="F15" t="s">
        <v>34</v>
      </c>
      <c r="G15">
        <v>7250</v>
      </c>
      <c r="H15">
        <v>20</v>
      </c>
      <c r="I15">
        <v>20</v>
      </c>
      <c r="J15">
        <v>10</v>
      </c>
      <c r="K15">
        <v>50</v>
      </c>
      <c r="L15" t="s">
        <v>26</v>
      </c>
      <c r="M15" t="s">
        <v>26</v>
      </c>
      <c r="N15" t="s">
        <v>26</v>
      </c>
      <c r="O15" t="s">
        <v>27</v>
      </c>
      <c r="P15" t="s">
        <v>26</v>
      </c>
      <c r="Q15" t="s">
        <v>28</v>
      </c>
      <c r="R15" s="7">
        <v>46216</v>
      </c>
      <c r="S15">
        <v>2.6</v>
      </c>
      <c r="T15">
        <v>14</v>
      </c>
      <c r="U15" t="s">
        <v>29</v>
      </c>
    </row>
    <row r="16" spans="1:21" x14ac:dyDescent="0.3">
      <c r="A16" t="s">
        <v>68</v>
      </c>
      <c r="B16" t="s">
        <v>43</v>
      </c>
      <c r="C16" t="s">
        <v>64</v>
      </c>
      <c r="D16">
        <v>6.1</v>
      </c>
      <c r="E16" t="s">
        <v>54</v>
      </c>
      <c r="F16" t="s">
        <v>34</v>
      </c>
      <c r="G16">
        <v>5750</v>
      </c>
      <c r="H16">
        <v>42</v>
      </c>
      <c r="I16">
        <v>42</v>
      </c>
      <c r="J16">
        <v>40</v>
      </c>
      <c r="K16">
        <v>95.2</v>
      </c>
      <c r="L16" t="s">
        <v>27</v>
      </c>
      <c r="M16" t="s">
        <v>27</v>
      </c>
      <c r="N16" t="s">
        <v>26</v>
      </c>
      <c r="O16" t="s">
        <v>26</v>
      </c>
      <c r="P16" t="s">
        <v>26</v>
      </c>
      <c r="Q16" t="s">
        <v>28</v>
      </c>
      <c r="R16" s="7">
        <v>45682</v>
      </c>
      <c r="S16">
        <v>4.0999999999999996</v>
      </c>
      <c r="T16">
        <v>15</v>
      </c>
      <c r="U16" t="s">
        <v>29</v>
      </c>
    </row>
    <row r="17" spans="1:21" x14ac:dyDescent="0.3">
      <c r="A17" t="s">
        <v>69</v>
      </c>
      <c r="B17" t="s">
        <v>70</v>
      </c>
      <c r="C17" t="s">
        <v>32</v>
      </c>
      <c r="D17">
        <v>0.2</v>
      </c>
      <c r="E17" t="s">
        <v>48</v>
      </c>
      <c r="F17" t="s">
        <v>25</v>
      </c>
      <c r="G17">
        <v>2800</v>
      </c>
      <c r="H17">
        <v>37</v>
      </c>
      <c r="I17">
        <v>148</v>
      </c>
      <c r="J17">
        <v>87</v>
      </c>
      <c r="K17">
        <v>58.8</v>
      </c>
      <c r="L17" t="s">
        <v>26</v>
      </c>
      <c r="M17" t="s">
        <v>26</v>
      </c>
      <c r="N17" t="s">
        <v>26</v>
      </c>
      <c r="O17" t="s">
        <v>27</v>
      </c>
      <c r="P17" t="s">
        <v>26</v>
      </c>
      <c r="Q17" t="s">
        <v>28</v>
      </c>
      <c r="R17" s="7">
        <v>46100</v>
      </c>
      <c r="S17">
        <v>4.5</v>
      </c>
      <c r="T17">
        <v>1</v>
      </c>
      <c r="U17" t="s">
        <v>29</v>
      </c>
    </row>
    <row r="18" spans="1:21" x14ac:dyDescent="0.3">
      <c r="A18" t="s">
        <v>71</v>
      </c>
      <c r="B18" t="s">
        <v>72</v>
      </c>
      <c r="C18" t="s">
        <v>23</v>
      </c>
      <c r="D18">
        <v>5.7</v>
      </c>
      <c r="E18" t="s">
        <v>54</v>
      </c>
      <c r="F18" t="s">
        <v>34</v>
      </c>
      <c r="G18">
        <v>5750</v>
      </c>
      <c r="H18">
        <v>45</v>
      </c>
      <c r="I18">
        <v>45</v>
      </c>
      <c r="J18">
        <v>30</v>
      </c>
      <c r="K18">
        <v>66.7</v>
      </c>
      <c r="L18" t="s">
        <v>26</v>
      </c>
      <c r="M18" t="s">
        <v>26</v>
      </c>
      <c r="N18" t="s">
        <v>27</v>
      </c>
      <c r="O18" t="s">
        <v>26</v>
      </c>
      <c r="P18" t="s">
        <v>26</v>
      </c>
      <c r="Q18" t="s">
        <v>28</v>
      </c>
      <c r="R18" s="7">
        <v>46181</v>
      </c>
      <c r="S18">
        <v>3.3</v>
      </c>
      <c r="T18">
        <v>2</v>
      </c>
      <c r="U18" t="s">
        <v>29</v>
      </c>
    </row>
    <row r="19" spans="1:21" x14ac:dyDescent="0.3">
      <c r="A19" t="s">
        <v>73</v>
      </c>
      <c r="B19" t="s">
        <v>37</v>
      </c>
      <c r="C19" t="s">
        <v>38</v>
      </c>
      <c r="D19">
        <v>7.1</v>
      </c>
      <c r="E19" t="s">
        <v>24</v>
      </c>
      <c r="F19" t="s">
        <v>49</v>
      </c>
      <c r="G19">
        <v>3750</v>
      </c>
      <c r="H19">
        <v>13</v>
      </c>
      <c r="I19">
        <v>26</v>
      </c>
      <c r="J19">
        <v>22</v>
      </c>
      <c r="K19">
        <v>84.6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35</v>
      </c>
      <c r="R19" s="7">
        <v>46202</v>
      </c>
      <c r="S19">
        <v>3.5</v>
      </c>
      <c r="T19">
        <v>8</v>
      </c>
      <c r="U19" t="s">
        <v>29</v>
      </c>
    </row>
    <row r="20" spans="1:21" x14ac:dyDescent="0.3">
      <c r="A20" t="s">
        <v>74</v>
      </c>
      <c r="B20" t="s">
        <v>75</v>
      </c>
      <c r="C20" t="s">
        <v>41</v>
      </c>
      <c r="D20">
        <v>3.5</v>
      </c>
      <c r="E20" t="s">
        <v>54</v>
      </c>
      <c r="F20" t="s">
        <v>49</v>
      </c>
      <c r="G20">
        <v>5500</v>
      </c>
      <c r="H20">
        <v>37</v>
      </c>
      <c r="I20">
        <v>37</v>
      </c>
      <c r="J20">
        <v>31</v>
      </c>
      <c r="K20">
        <v>83.8</v>
      </c>
      <c r="L20" t="s">
        <v>26</v>
      </c>
      <c r="M20" t="s">
        <v>26</v>
      </c>
      <c r="N20" t="s">
        <v>27</v>
      </c>
      <c r="O20" t="s">
        <v>26</v>
      </c>
      <c r="P20" t="s">
        <v>26</v>
      </c>
      <c r="Q20" t="s">
        <v>28</v>
      </c>
      <c r="R20" s="7">
        <v>45769</v>
      </c>
      <c r="S20">
        <v>4.8</v>
      </c>
      <c r="T20">
        <v>11</v>
      </c>
      <c r="U20" t="s">
        <v>29</v>
      </c>
    </row>
    <row r="21" spans="1:21" x14ac:dyDescent="0.3">
      <c r="A21" t="s">
        <v>76</v>
      </c>
      <c r="B21" t="s">
        <v>58</v>
      </c>
      <c r="C21" t="s">
        <v>44</v>
      </c>
      <c r="D21">
        <v>3.4</v>
      </c>
      <c r="E21" t="s">
        <v>33</v>
      </c>
      <c r="F21" t="s">
        <v>34</v>
      </c>
      <c r="G21">
        <v>4750</v>
      </c>
      <c r="H21">
        <v>41</v>
      </c>
      <c r="I21">
        <v>123</v>
      </c>
      <c r="J21">
        <v>44</v>
      </c>
      <c r="K21">
        <v>35.799999999999997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35</v>
      </c>
      <c r="R21" s="7">
        <v>45973</v>
      </c>
      <c r="S21">
        <v>3.2</v>
      </c>
      <c r="T21">
        <v>17</v>
      </c>
      <c r="U21" t="s">
        <v>29</v>
      </c>
    </row>
    <row r="22" spans="1:21" x14ac:dyDescent="0.3">
      <c r="A22" t="s">
        <v>77</v>
      </c>
      <c r="B22" t="s">
        <v>78</v>
      </c>
      <c r="C22" t="s">
        <v>41</v>
      </c>
      <c r="D22">
        <v>4.5999999999999996</v>
      </c>
      <c r="E22" t="s">
        <v>33</v>
      </c>
      <c r="F22" t="s">
        <v>25</v>
      </c>
      <c r="G22">
        <v>3250</v>
      </c>
      <c r="H22">
        <v>24</v>
      </c>
      <c r="I22">
        <v>72</v>
      </c>
      <c r="J22">
        <v>57</v>
      </c>
      <c r="K22">
        <v>79.2</v>
      </c>
      <c r="L22" t="s">
        <v>27</v>
      </c>
      <c r="M22" t="s">
        <v>26</v>
      </c>
      <c r="N22" t="s">
        <v>26</v>
      </c>
      <c r="O22" t="s">
        <v>26</v>
      </c>
      <c r="P22" t="s">
        <v>26</v>
      </c>
      <c r="Q22" t="s">
        <v>28</v>
      </c>
      <c r="R22" s="7">
        <v>46167</v>
      </c>
      <c r="S22">
        <v>4.9000000000000004</v>
      </c>
      <c r="T22">
        <v>1</v>
      </c>
      <c r="U22" t="s">
        <v>29</v>
      </c>
    </row>
    <row r="23" spans="1:21" x14ac:dyDescent="0.3">
      <c r="A23" t="s">
        <v>79</v>
      </c>
      <c r="B23" t="s">
        <v>78</v>
      </c>
      <c r="C23" t="s">
        <v>44</v>
      </c>
      <c r="D23">
        <v>5.6</v>
      </c>
      <c r="E23" t="s">
        <v>48</v>
      </c>
      <c r="F23" t="s">
        <v>34</v>
      </c>
      <c r="G23">
        <v>3800</v>
      </c>
      <c r="H23">
        <v>8</v>
      </c>
      <c r="I23">
        <v>32</v>
      </c>
      <c r="J23">
        <v>14</v>
      </c>
      <c r="K23">
        <v>43.8</v>
      </c>
      <c r="L23" t="s">
        <v>26</v>
      </c>
      <c r="M23" t="s">
        <v>27</v>
      </c>
      <c r="N23" t="s">
        <v>26</v>
      </c>
      <c r="O23" t="s">
        <v>26</v>
      </c>
      <c r="P23" t="s">
        <v>26</v>
      </c>
      <c r="Q23" t="s">
        <v>28</v>
      </c>
      <c r="R23" s="7">
        <v>45744</v>
      </c>
      <c r="S23">
        <v>4</v>
      </c>
      <c r="T23">
        <v>4</v>
      </c>
      <c r="U23" t="s">
        <v>29</v>
      </c>
    </row>
    <row r="24" spans="1:21" x14ac:dyDescent="0.3">
      <c r="A24" t="s">
        <v>80</v>
      </c>
      <c r="B24" t="s">
        <v>58</v>
      </c>
      <c r="C24" t="s">
        <v>81</v>
      </c>
      <c r="D24">
        <v>6.8</v>
      </c>
      <c r="E24" t="s">
        <v>54</v>
      </c>
      <c r="F24" t="s">
        <v>34</v>
      </c>
      <c r="G24">
        <v>8250</v>
      </c>
      <c r="H24">
        <v>21</v>
      </c>
      <c r="I24">
        <v>21</v>
      </c>
      <c r="J24">
        <v>17</v>
      </c>
      <c r="K24">
        <v>81</v>
      </c>
      <c r="L24" t="s">
        <v>27</v>
      </c>
      <c r="M24" t="s">
        <v>26</v>
      </c>
      <c r="N24" t="s">
        <v>27</v>
      </c>
      <c r="O24" t="s">
        <v>26</v>
      </c>
      <c r="P24" t="s">
        <v>26</v>
      </c>
      <c r="Q24" t="s">
        <v>28</v>
      </c>
      <c r="R24" s="7">
        <v>45922</v>
      </c>
      <c r="S24">
        <v>5</v>
      </c>
      <c r="T24">
        <v>7</v>
      </c>
      <c r="U24" t="s">
        <v>29</v>
      </c>
    </row>
    <row r="25" spans="1:21" x14ac:dyDescent="0.3">
      <c r="A25" t="s">
        <v>82</v>
      </c>
      <c r="B25" t="s">
        <v>83</v>
      </c>
      <c r="C25" t="s">
        <v>23</v>
      </c>
      <c r="D25">
        <v>1.5</v>
      </c>
      <c r="E25" t="s">
        <v>33</v>
      </c>
      <c r="F25" t="s">
        <v>34</v>
      </c>
      <c r="G25">
        <v>5500</v>
      </c>
      <c r="H25">
        <v>34</v>
      </c>
      <c r="I25">
        <v>102</v>
      </c>
      <c r="J25">
        <v>66</v>
      </c>
      <c r="K25">
        <v>64.7</v>
      </c>
      <c r="L25" t="s">
        <v>26</v>
      </c>
      <c r="M25" t="s">
        <v>27</v>
      </c>
      <c r="N25" t="s">
        <v>26</v>
      </c>
      <c r="O25" t="s">
        <v>26</v>
      </c>
      <c r="P25" t="s">
        <v>26</v>
      </c>
      <c r="Q25" t="s">
        <v>28</v>
      </c>
      <c r="R25" s="7">
        <v>45940</v>
      </c>
      <c r="S25">
        <v>2.9</v>
      </c>
      <c r="T25">
        <v>7</v>
      </c>
      <c r="U25" t="s">
        <v>29</v>
      </c>
    </row>
    <row r="26" spans="1:21" x14ac:dyDescent="0.3">
      <c r="A26" t="s">
        <v>84</v>
      </c>
      <c r="B26" t="s">
        <v>85</v>
      </c>
      <c r="C26" t="s">
        <v>81</v>
      </c>
      <c r="D26">
        <v>2.4</v>
      </c>
      <c r="E26" t="s">
        <v>24</v>
      </c>
      <c r="F26" t="s">
        <v>25</v>
      </c>
      <c r="G26">
        <v>5250</v>
      </c>
      <c r="H26">
        <v>9</v>
      </c>
      <c r="I26">
        <v>18</v>
      </c>
      <c r="J26">
        <v>16</v>
      </c>
      <c r="K26">
        <v>88.9</v>
      </c>
      <c r="L26" t="s">
        <v>26</v>
      </c>
      <c r="M26" t="s">
        <v>26</v>
      </c>
      <c r="N26" t="s">
        <v>26</v>
      </c>
      <c r="O26" t="s">
        <v>27</v>
      </c>
      <c r="P26" t="s">
        <v>26</v>
      </c>
      <c r="Q26" t="s">
        <v>28</v>
      </c>
      <c r="R26" s="7">
        <v>45864</v>
      </c>
      <c r="S26">
        <v>3.6</v>
      </c>
      <c r="T26">
        <v>11</v>
      </c>
      <c r="U26" t="s">
        <v>29</v>
      </c>
    </row>
    <row r="27" spans="1:21" x14ac:dyDescent="0.3">
      <c r="A27" t="s">
        <v>86</v>
      </c>
      <c r="B27" t="s">
        <v>46</v>
      </c>
      <c r="C27" t="s">
        <v>23</v>
      </c>
      <c r="D27">
        <v>1</v>
      </c>
      <c r="E27" t="s">
        <v>33</v>
      </c>
      <c r="F27" t="s">
        <v>34</v>
      </c>
      <c r="G27">
        <v>3000</v>
      </c>
      <c r="H27">
        <v>45</v>
      </c>
      <c r="I27">
        <v>135</v>
      </c>
      <c r="J27">
        <v>80</v>
      </c>
      <c r="K27">
        <v>59.3</v>
      </c>
      <c r="L27" t="s">
        <v>26</v>
      </c>
      <c r="M27" t="s">
        <v>27</v>
      </c>
      <c r="N27" t="s">
        <v>26</v>
      </c>
      <c r="O27" t="s">
        <v>26</v>
      </c>
      <c r="P27" t="s">
        <v>27</v>
      </c>
      <c r="Q27" t="s">
        <v>28</v>
      </c>
      <c r="R27" s="7">
        <v>45706</v>
      </c>
      <c r="S27">
        <v>3.6</v>
      </c>
      <c r="T27">
        <v>16</v>
      </c>
      <c r="U27" t="s">
        <v>29</v>
      </c>
    </row>
    <row r="28" spans="1:21" x14ac:dyDescent="0.3">
      <c r="A28" t="s">
        <v>87</v>
      </c>
      <c r="B28" t="s">
        <v>37</v>
      </c>
      <c r="C28" t="s">
        <v>47</v>
      </c>
      <c r="D28">
        <v>2.1</v>
      </c>
      <c r="E28" t="s">
        <v>48</v>
      </c>
      <c r="F28" t="s">
        <v>49</v>
      </c>
      <c r="G28">
        <v>1800</v>
      </c>
      <c r="H28">
        <v>41</v>
      </c>
      <c r="I28">
        <v>164</v>
      </c>
      <c r="J28">
        <v>160</v>
      </c>
      <c r="K28">
        <v>97.6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35</v>
      </c>
      <c r="R28" s="7">
        <v>46218</v>
      </c>
      <c r="S28">
        <v>3.9</v>
      </c>
      <c r="T28">
        <v>10</v>
      </c>
      <c r="U28" t="s">
        <v>29</v>
      </c>
    </row>
    <row r="29" spans="1:21" x14ac:dyDescent="0.3">
      <c r="A29" t="s">
        <v>88</v>
      </c>
      <c r="B29" t="s">
        <v>53</v>
      </c>
      <c r="C29" t="s">
        <v>41</v>
      </c>
      <c r="D29">
        <v>5.0999999999999996</v>
      </c>
      <c r="E29" t="s">
        <v>33</v>
      </c>
      <c r="F29" t="s">
        <v>49</v>
      </c>
      <c r="G29">
        <v>4000</v>
      </c>
      <c r="H29">
        <v>26</v>
      </c>
      <c r="I29">
        <v>78</v>
      </c>
      <c r="J29">
        <v>62</v>
      </c>
      <c r="K29">
        <v>79.5</v>
      </c>
      <c r="L29" t="s">
        <v>27</v>
      </c>
      <c r="M29" t="s">
        <v>26</v>
      </c>
      <c r="N29" t="s">
        <v>27</v>
      </c>
      <c r="O29" t="s">
        <v>26</v>
      </c>
      <c r="P29" t="s">
        <v>27</v>
      </c>
      <c r="Q29" t="s">
        <v>65</v>
      </c>
      <c r="R29" s="7">
        <v>45797</v>
      </c>
      <c r="S29">
        <v>3.8</v>
      </c>
      <c r="T29">
        <v>18</v>
      </c>
      <c r="U29" t="s">
        <v>29</v>
      </c>
    </row>
    <row r="30" spans="1:21" x14ac:dyDescent="0.3">
      <c r="A30" t="s">
        <v>89</v>
      </c>
      <c r="B30" t="s">
        <v>37</v>
      </c>
      <c r="C30" t="s">
        <v>23</v>
      </c>
      <c r="D30">
        <v>2.4</v>
      </c>
      <c r="E30" t="s">
        <v>24</v>
      </c>
      <c r="F30" t="s">
        <v>25</v>
      </c>
      <c r="G30">
        <v>6750</v>
      </c>
      <c r="H30">
        <v>45</v>
      </c>
      <c r="I30">
        <v>90</v>
      </c>
      <c r="J30">
        <v>69</v>
      </c>
      <c r="K30">
        <v>76.7</v>
      </c>
      <c r="L30" t="s">
        <v>26</v>
      </c>
      <c r="M30" t="s">
        <v>27</v>
      </c>
      <c r="N30" t="s">
        <v>26</v>
      </c>
      <c r="O30" t="s">
        <v>27</v>
      </c>
      <c r="P30" t="s">
        <v>27</v>
      </c>
      <c r="Q30" t="s">
        <v>65</v>
      </c>
      <c r="R30" s="7">
        <v>45996</v>
      </c>
      <c r="S30">
        <v>3.8</v>
      </c>
      <c r="T30">
        <v>5</v>
      </c>
      <c r="U30" t="s">
        <v>29</v>
      </c>
    </row>
    <row r="31" spans="1:21" x14ac:dyDescent="0.3">
      <c r="A31" t="s">
        <v>90</v>
      </c>
      <c r="B31" t="s">
        <v>60</v>
      </c>
      <c r="C31" t="s">
        <v>81</v>
      </c>
      <c r="D31">
        <v>0.9</v>
      </c>
      <c r="E31" t="s">
        <v>24</v>
      </c>
      <c r="F31" t="s">
        <v>49</v>
      </c>
      <c r="G31">
        <v>5750</v>
      </c>
      <c r="H31">
        <v>22</v>
      </c>
      <c r="I31">
        <v>44</v>
      </c>
      <c r="J31">
        <v>40</v>
      </c>
      <c r="K31">
        <v>90.9</v>
      </c>
      <c r="L31" t="s">
        <v>26</v>
      </c>
      <c r="M31" t="s">
        <v>27</v>
      </c>
      <c r="N31" t="s">
        <v>26</v>
      </c>
      <c r="O31" t="s">
        <v>26</v>
      </c>
      <c r="P31" t="s">
        <v>26</v>
      </c>
      <c r="Q31" t="s">
        <v>28</v>
      </c>
      <c r="R31" s="7">
        <v>45870</v>
      </c>
      <c r="S31">
        <v>3.6</v>
      </c>
      <c r="T31">
        <v>2</v>
      </c>
      <c r="U31" t="s">
        <v>29</v>
      </c>
    </row>
    <row r="32" spans="1:21" x14ac:dyDescent="0.3">
      <c r="A32" t="s">
        <v>91</v>
      </c>
      <c r="B32" t="s">
        <v>83</v>
      </c>
      <c r="C32" t="s">
        <v>47</v>
      </c>
      <c r="D32">
        <v>5.4</v>
      </c>
      <c r="E32" t="s">
        <v>48</v>
      </c>
      <c r="F32" t="s">
        <v>34</v>
      </c>
      <c r="G32">
        <v>3550</v>
      </c>
      <c r="H32">
        <v>33</v>
      </c>
      <c r="I32">
        <v>132</v>
      </c>
      <c r="J32">
        <v>77</v>
      </c>
      <c r="K32">
        <v>58.3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35</v>
      </c>
      <c r="R32" s="7">
        <v>45818</v>
      </c>
      <c r="S32">
        <v>3.3</v>
      </c>
      <c r="T32">
        <v>16</v>
      </c>
      <c r="U32" t="s">
        <v>29</v>
      </c>
    </row>
    <row r="33" spans="1:21" x14ac:dyDescent="0.3">
      <c r="A33" t="s">
        <v>92</v>
      </c>
      <c r="B33" t="s">
        <v>85</v>
      </c>
      <c r="C33" t="s">
        <v>44</v>
      </c>
      <c r="D33">
        <v>6.1</v>
      </c>
      <c r="E33" t="s">
        <v>33</v>
      </c>
      <c r="F33" t="s">
        <v>34</v>
      </c>
      <c r="G33">
        <v>5500</v>
      </c>
      <c r="H33">
        <v>36</v>
      </c>
      <c r="I33">
        <v>108</v>
      </c>
      <c r="J33">
        <v>101</v>
      </c>
      <c r="K33">
        <v>93.5</v>
      </c>
      <c r="L33" t="s">
        <v>27</v>
      </c>
      <c r="M33" t="s">
        <v>27</v>
      </c>
      <c r="N33" t="s">
        <v>27</v>
      </c>
      <c r="O33" t="s">
        <v>27</v>
      </c>
      <c r="P33" t="s">
        <v>26</v>
      </c>
      <c r="Q33" t="s">
        <v>65</v>
      </c>
      <c r="R33" s="7">
        <v>46103</v>
      </c>
      <c r="S33">
        <v>4.2</v>
      </c>
      <c r="T33">
        <v>8</v>
      </c>
      <c r="U33" t="s">
        <v>29</v>
      </c>
    </row>
    <row r="34" spans="1:21" x14ac:dyDescent="0.3">
      <c r="A34" t="s">
        <v>93</v>
      </c>
      <c r="B34" t="s">
        <v>78</v>
      </c>
      <c r="C34" t="s">
        <v>64</v>
      </c>
      <c r="D34">
        <v>4.8</v>
      </c>
      <c r="E34" t="s">
        <v>33</v>
      </c>
      <c r="F34" t="s">
        <v>34</v>
      </c>
      <c r="G34">
        <v>4250</v>
      </c>
      <c r="H34">
        <v>12</v>
      </c>
      <c r="I34">
        <v>36</v>
      </c>
      <c r="J34">
        <v>34</v>
      </c>
      <c r="K34">
        <v>94.4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35</v>
      </c>
      <c r="R34" s="7">
        <v>45959</v>
      </c>
      <c r="S34">
        <v>4.3</v>
      </c>
      <c r="T34">
        <v>4</v>
      </c>
      <c r="U34" t="s">
        <v>29</v>
      </c>
    </row>
    <row r="35" spans="1:21" x14ac:dyDescent="0.3">
      <c r="A35" t="s">
        <v>94</v>
      </c>
      <c r="B35" t="s">
        <v>31</v>
      </c>
      <c r="C35" t="s">
        <v>38</v>
      </c>
      <c r="D35">
        <v>3.2</v>
      </c>
      <c r="E35" t="s">
        <v>33</v>
      </c>
      <c r="F35" t="s">
        <v>34</v>
      </c>
      <c r="G35">
        <v>4500</v>
      </c>
      <c r="H35">
        <v>37</v>
      </c>
      <c r="I35">
        <v>111</v>
      </c>
      <c r="J35">
        <v>91</v>
      </c>
      <c r="K35">
        <v>82</v>
      </c>
      <c r="L35" t="s">
        <v>26</v>
      </c>
      <c r="M35" t="s">
        <v>27</v>
      </c>
      <c r="N35" t="s">
        <v>26</v>
      </c>
      <c r="O35" t="s">
        <v>26</v>
      </c>
      <c r="P35" t="s">
        <v>27</v>
      </c>
      <c r="Q35" t="s">
        <v>28</v>
      </c>
      <c r="R35" s="7">
        <v>45730</v>
      </c>
      <c r="S35">
        <v>4.4000000000000004</v>
      </c>
      <c r="T35">
        <v>15</v>
      </c>
      <c r="U35" t="s">
        <v>29</v>
      </c>
    </row>
    <row r="36" spans="1:21" x14ac:dyDescent="0.3">
      <c r="A36" t="s">
        <v>95</v>
      </c>
      <c r="B36" t="s">
        <v>51</v>
      </c>
      <c r="C36" t="s">
        <v>41</v>
      </c>
      <c r="D36">
        <v>5.7</v>
      </c>
      <c r="E36" t="s">
        <v>48</v>
      </c>
      <c r="F36" t="s">
        <v>49</v>
      </c>
      <c r="G36">
        <v>3800</v>
      </c>
      <c r="H36">
        <v>42</v>
      </c>
      <c r="I36">
        <v>168</v>
      </c>
      <c r="J36">
        <v>160</v>
      </c>
      <c r="K36">
        <v>95.2</v>
      </c>
      <c r="L36" t="s">
        <v>27</v>
      </c>
      <c r="M36" t="s">
        <v>27</v>
      </c>
      <c r="N36" t="s">
        <v>26</v>
      </c>
      <c r="O36" t="s">
        <v>27</v>
      </c>
      <c r="P36" t="s">
        <v>26</v>
      </c>
      <c r="Q36" t="s">
        <v>65</v>
      </c>
      <c r="R36" s="7">
        <v>45892</v>
      </c>
      <c r="S36">
        <v>3.4</v>
      </c>
      <c r="T36">
        <v>0</v>
      </c>
      <c r="U36" t="s">
        <v>29</v>
      </c>
    </row>
    <row r="37" spans="1:21" x14ac:dyDescent="0.3">
      <c r="A37" t="s">
        <v>96</v>
      </c>
      <c r="B37" t="s">
        <v>70</v>
      </c>
      <c r="C37" t="s">
        <v>64</v>
      </c>
      <c r="D37">
        <v>6.9</v>
      </c>
      <c r="E37" t="s">
        <v>54</v>
      </c>
      <c r="F37" t="s">
        <v>49</v>
      </c>
      <c r="G37">
        <v>8500</v>
      </c>
      <c r="H37">
        <v>45</v>
      </c>
      <c r="I37">
        <v>45</v>
      </c>
      <c r="J37">
        <v>33</v>
      </c>
      <c r="K37">
        <v>73.3</v>
      </c>
      <c r="L37" t="s">
        <v>27</v>
      </c>
      <c r="M37" t="s">
        <v>26</v>
      </c>
      <c r="N37" t="s">
        <v>26</v>
      </c>
      <c r="O37" t="s">
        <v>26</v>
      </c>
      <c r="P37" t="s">
        <v>27</v>
      </c>
      <c r="Q37" t="s">
        <v>28</v>
      </c>
      <c r="R37" s="7">
        <v>45694</v>
      </c>
      <c r="S37">
        <v>4.5</v>
      </c>
      <c r="T37">
        <v>1</v>
      </c>
      <c r="U37" t="s">
        <v>29</v>
      </c>
    </row>
    <row r="38" spans="1:21" x14ac:dyDescent="0.3">
      <c r="A38" t="s">
        <v>97</v>
      </c>
      <c r="B38" t="s">
        <v>37</v>
      </c>
      <c r="C38" t="s">
        <v>81</v>
      </c>
      <c r="D38">
        <v>1.7</v>
      </c>
      <c r="E38" t="s">
        <v>33</v>
      </c>
      <c r="F38" t="s">
        <v>25</v>
      </c>
      <c r="G38">
        <v>3750</v>
      </c>
      <c r="H38">
        <v>32</v>
      </c>
      <c r="I38">
        <v>96</v>
      </c>
      <c r="J38">
        <v>68</v>
      </c>
      <c r="K38">
        <v>70.8</v>
      </c>
      <c r="L38" t="s">
        <v>26</v>
      </c>
      <c r="M38" t="s">
        <v>26</v>
      </c>
      <c r="N38" t="s">
        <v>26</v>
      </c>
      <c r="O38" t="s">
        <v>26</v>
      </c>
      <c r="P38" t="s">
        <v>26</v>
      </c>
      <c r="Q38" t="s">
        <v>35</v>
      </c>
      <c r="R38" s="7">
        <v>46098</v>
      </c>
      <c r="S38">
        <v>4</v>
      </c>
      <c r="T38">
        <v>11</v>
      </c>
      <c r="U38" t="s">
        <v>29</v>
      </c>
    </row>
    <row r="39" spans="1:21" x14ac:dyDescent="0.3">
      <c r="A39" t="s">
        <v>98</v>
      </c>
      <c r="B39" t="s">
        <v>67</v>
      </c>
      <c r="C39" t="s">
        <v>23</v>
      </c>
      <c r="D39">
        <v>7.1</v>
      </c>
      <c r="E39" t="s">
        <v>24</v>
      </c>
      <c r="F39" t="s">
        <v>49</v>
      </c>
      <c r="G39">
        <v>3500</v>
      </c>
      <c r="H39">
        <v>17</v>
      </c>
      <c r="I39">
        <v>34</v>
      </c>
      <c r="J39">
        <v>18</v>
      </c>
      <c r="K39">
        <v>52.9</v>
      </c>
      <c r="L39" t="s">
        <v>26</v>
      </c>
      <c r="M39" t="s">
        <v>27</v>
      </c>
      <c r="N39" t="s">
        <v>27</v>
      </c>
      <c r="O39" t="s">
        <v>27</v>
      </c>
      <c r="P39" t="s">
        <v>26</v>
      </c>
      <c r="Q39" t="s">
        <v>65</v>
      </c>
      <c r="R39" s="7">
        <v>45796</v>
      </c>
      <c r="S39">
        <v>4.2</v>
      </c>
      <c r="T39">
        <v>8</v>
      </c>
      <c r="U39" t="s">
        <v>29</v>
      </c>
    </row>
    <row r="40" spans="1:21" x14ac:dyDescent="0.3">
      <c r="A40" t="s">
        <v>99</v>
      </c>
      <c r="B40" t="s">
        <v>70</v>
      </c>
      <c r="C40" t="s">
        <v>38</v>
      </c>
      <c r="D40">
        <v>5.9</v>
      </c>
      <c r="E40" t="s">
        <v>24</v>
      </c>
      <c r="F40" t="s">
        <v>34</v>
      </c>
      <c r="G40">
        <v>5750</v>
      </c>
      <c r="H40">
        <v>14</v>
      </c>
      <c r="I40">
        <v>28</v>
      </c>
      <c r="J40">
        <v>27</v>
      </c>
      <c r="K40">
        <v>96.4</v>
      </c>
      <c r="L40" t="s">
        <v>26</v>
      </c>
      <c r="M40" t="s">
        <v>26</v>
      </c>
      <c r="N40" t="s">
        <v>26</v>
      </c>
      <c r="O40" t="s">
        <v>26</v>
      </c>
      <c r="P40" t="s">
        <v>27</v>
      </c>
      <c r="Q40" t="s">
        <v>28</v>
      </c>
      <c r="R40" s="7">
        <v>45693</v>
      </c>
      <c r="S40">
        <v>3.7</v>
      </c>
      <c r="T40">
        <v>18</v>
      </c>
      <c r="U40" t="s">
        <v>29</v>
      </c>
    </row>
    <row r="41" spans="1:21" x14ac:dyDescent="0.3">
      <c r="A41" t="s">
        <v>100</v>
      </c>
      <c r="B41" t="s">
        <v>58</v>
      </c>
      <c r="C41" t="s">
        <v>38</v>
      </c>
      <c r="D41">
        <v>6</v>
      </c>
      <c r="E41" t="s">
        <v>54</v>
      </c>
      <c r="F41" t="s">
        <v>49</v>
      </c>
      <c r="G41">
        <v>8250</v>
      </c>
      <c r="H41">
        <v>42</v>
      </c>
      <c r="I41">
        <v>42</v>
      </c>
      <c r="J41">
        <v>27</v>
      </c>
      <c r="K41">
        <v>64.3</v>
      </c>
      <c r="L41" t="s">
        <v>27</v>
      </c>
      <c r="M41" t="s">
        <v>27</v>
      </c>
      <c r="N41" t="s">
        <v>26</v>
      </c>
      <c r="O41" t="s">
        <v>26</v>
      </c>
      <c r="P41" t="s">
        <v>26</v>
      </c>
      <c r="Q41" t="s">
        <v>28</v>
      </c>
      <c r="R41" s="7">
        <v>46046</v>
      </c>
      <c r="S41">
        <v>3.3</v>
      </c>
      <c r="T41">
        <v>3</v>
      </c>
      <c r="U41" t="s">
        <v>29</v>
      </c>
    </row>
    <row r="42" spans="1:21" x14ac:dyDescent="0.3">
      <c r="A42" t="s">
        <v>101</v>
      </c>
      <c r="B42" t="s">
        <v>51</v>
      </c>
      <c r="C42" t="s">
        <v>64</v>
      </c>
      <c r="D42">
        <v>5.4</v>
      </c>
      <c r="E42" t="s">
        <v>48</v>
      </c>
      <c r="F42" t="s">
        <v>49</v>
      </c>
      <c r="G42">
        <v>2300</v>
      </c>
      <c r="H42">
        <v>41</v>
      </c>
      <c r="I42">
        <v>164</v>
      </c>
      <c r="J42">
        <v>140</v>
      </c>
      <c r="K42">
        <v>85.4</v>
      </c>
      <c r="L42" t="s">
        <v>26</v>
      </c>
      <c r="M42" t="s">
        <v>26</v>
      </c>
      <c r="N42" t="s">
        <v>26</v>
      </c>
      <c r="O42" t="s">
        <v>27</v>
      </c>
      <c r="P42" t="s">
        <v>27</v>
      </c>
      <c r="Q42" t="s">
        <v>28</v>
      </c>
      <c r="R42" s="7">
        <v>45943</v>
      </c>
      <c r="S42">
        <v>4.0999999999999996</v>
      </c>
      <c r="T42">
        <v>7</v>
      </c>
      <c r="U42" t="s">
        <v>29</v>
      </c>
    </row>
    <row r="43" spans="1:21" x14ac:dyDescent="0.3">
      <c r="A43" t="s">
        <v>102</v>
      </c>
      <c r="B43" t="s">
        <v>40</v>
      </c>
      <c r="C43" t="s">
        <v>64</v>
      </c>
      <c r="D43">
        <v>4.4000000000000004</v>
      </c>
      <c r="E43" t="s">
        <v>48</v>
      </c>
      <c r="F43" t="s">
        <v>49</v>
      </c>
      <c r="G43">
        <v>3050</v>
      </c>
      <c r="H43">
        <v>9</v>
      </c>
      <c r="I43">
        <v>36</v>
      </c>
      <c r="J43">
        <v>27</v>
      </c>
      <c r="K43">
        <v>75</v>
      </c>
      <c r="L43" t="s">
        <v>26</v>
      </c>
      <c r="M43" t="s">
        <v>26</v>
      </c>
      <c r="N43" t="s">
        <v>26</v>
      </c>
      <c r="O43" t="s">
        <v>26</v>
      </c>
      <c r="P43" t="s">
        <v>27</v>
      </c>
      <c r="Q43" t="s">
        <v>28</v>
      </c>
      <c r="R43" s="7">
        <v>45999</v>
      </c>
      <c r="S43">
        <v>3.8</v>
      </c>
      <c r="T43">
        <v>10</v>
      </c>
      <c r="U43" t="s">
        <v>29</v>
      </c>
    </row>
    <row r="44" spans="1:21" x14ac:dyDescent="0.3">
      <c r="A44" t="s">
        <v>103</v>
      </c>
      <c r="B44" t="s">
        <v>60</v>
      </c>
      <c r="C44" t="s">
        <v>41</v>
      </c>
      <c r="D44">
        <v>4.3</v>
      </c>
      <c r="E44" t="s">
        <v>24</v>
      </c>
      <c r="F44" t="s">
        <v>34</v>
      </c>
      <c r="G44">
        <v>4000</v>
      </c>
      <c r="H44">
        <v>23</v>
      </c>
      <c r="I44">
        <v>46</v>
      </c>
      <c r="J44">
        <v>39</v>
      </c>
      <c r="K44">
        <v>84.8</v>
      </c>
      <c r="L44" t="s">
        <v>27</v>
      </c>
      <c r="M44" t="s">
        <v>27</v>
      </c>
      <c r="N44" t="s">
        <v>27</v>
      </c>
      <c r="O44" t="s">
        <v>27</v>
      </c>
      <c r="P44" t="s">
        <v>26</v>
      </c>
      <c r="Q44" t="s">
        <v>65</v>
      </c>
      <c r="R44" s="7">
        <v>46083</v>
      </c>
      <c r="S44">
        <v>4.0999999999999996</v>
      </c>
      <c r="T44">
        <v>14</v>
      </c>
      <c r="U44" t="s">
        <v>29</v>
      </c>
    </row>
    <row r="45" spans="1:21" x14ac:dyDescent="0.3">
      <c r="A45" t="s">
        <v>104</v>
      </c>
      <c r="B45" t="s">
        <v>37</v>
      </c>
      <c r="C45" t="s">
        <v>47</v>
      </c>
      <c r="D45">
        <v>2.4</v>
      </c>
      <c r="E45" t="s">
        <v>33</v>
      </c>
      <c r="F45" t="s">
        <v>49</v>
      </c>
      <c r="G45">
        <v>4250</v>
      </c>
      <c r="H45">
        <v>43</v>
      </c>
      <c r="I45">
        <v>129</v>
      </c>
      <c r="J45">
        <v>112</v>
      </c>
      <c r="K45">
        <v>86.8</v>
      </c>
      <c r="L45" t="s">
        <v>27</v>
      </c>
      <c r="M45" t="s">
        <v>26</v>
      </c>
      <c r="N45" t="s">
        <v>26</v>
      </c>
      <c r="O45" t="s">
        <v>27</v>
      </c>
      <c r="P45" t="s">
        <v>26</v>
      </c>
      <c r="Q45" t="s">
        <v>28</v>
      </c>
      <c r="R45" s="7">
        <v>46019</v>
      </c>
      <c r="S45">
        <v>3.8</v>
      </c>
      <c r="T45">
        <v>9</v>
      </c>
      <c r="U45" t="s">
        <v>29</v>
      </c>
    </row>
    <row r="46" spans="1:21" x14ac:dyDescent="0.3">
      <c r="A46" t="s">
        <v>105</v>
      </c>
      <c r="B46" t="s">
        <v>40</v>
      </c>
      <c r="C46" t="s">
        <v>38</v>
      </c>
      <c r="D46">
        <v>5.5</v>
      </c>
      <c r="E46" t="s">
        <v>33</v>
      </c>
      <c r="F46" t="s">
        <v>49</v>
      </c>
      <c r="G46">
        <v>2750</v>
      </c>
      <c r="H46">
        <v>42</v>
      </c>
      <c r="I46">
        <v>126</v>
      </c>
      <c r="J46">
        <v>67</v>
      </c>
      <c r="K46">
        <v>53.2</v>
      </c>
      <c r="L46" t="s">
        <v>26</v>
      </c>
      <c r="M46" t="s">
        <v>26</v>
      </c>
      <c r="N46" t="s">
        <v>26</v>
      </c>
      <c r="O46" t="s">
        <v>26</v>
      </c>
      <c r="P46" t="s">
        <v>27</v>
      </c>
      <c r="Q46" t="s">
        <v>28</v>
      </c>
      <c r="R46" s="7">
        <v>45863</v>
      </c>
      <c r="S46">
        <v>3.9</v>
      </c>
      <c r="T46">
        <v>6</v>
      </c>
      <c r="U46" t="s">
        <v>29</v>
      </c>
    </row>
    <row r="47" spans="1:21" x14ac:dyDescent="0.3">
      <c r="A47" t="s">
        <v>106</v>
      </c>
      <c r="B47" t="s">
        <v>56</v>
      </c>
      <c r="C47" t="s">
        <v>44</v>
      </c>
      <c r="D47">
        <v>2.2000000000000002</v>
      </c>
      <c r="E47" t="s">
        <v>54</v>
      </c>
      <c r="F47" t="s">
        <v>49</v>
      </c>
      <c r="G47">
        <v>9750</v>
      </c>
      <c r="H47">
        <v>26</v>
      </c>
      <c r="I47">
        <v>26</v>
      </c>
      <c r="J47">
        <v>13</v>
      </c>
      <c r="K47">
        <v>50</v>
      </c>
      <c r="L47" t="s">
        <v>26</v>
      </c>
      <c r="M47" t="s">
        <v>27</v>
      </c>
      <c r="N47" t="s">
        <v>27</v>
      </c>
      <c r="O47" t="s">
        <v>26</v>
      </c>
      <c r="P47" t="s">
        <v>26</v>
      </c>
      <c r="Q47" t="s">
        <v>28</v>
      </c>
      <c r="R47" s="7">
        <v>46169</v>
      </c>
      <c r="S47">
        <v>4.5</v>
      </c>
      <c r="T47">
        <v>15</v>
      </c>
      <c r="U47" t="s">
        <v>29</v>
      </c>
    </row>
    <row r="48" spans="1:21" x14ac:dyDescent="0.3">
      <c r="A48" t="s">
        <v>107</v>
      </c>
      <c r="B48" t="s">
        <v>46</v>
      </c>
      <c r="C48" t="s">
        <v>44</v>
      </c>
      <c r="D48">
        <v>7.2</v>
      </c>
      <c r="E48" t="s">
        <v>33</v>
      </c>
      <c r="F48" t="s">
        <v>34</v>
      </c>
      <c r="G48">
        <v>4250</v>
      </c>
      <c r="H48">
        <v>15</v>
      </c>
      <c r="I48">
        <v>45</v>
      </c>
      <c r="J48">
        <v>41</v>
      </c>
      <c r="K48">
        <v>91.1</v>
      </c>
      <c r="L48" t="s">
        <v>26</v>
      </c>
      <c r="M48" t="s">
        <v>26</v>
      </c>
      <c r="N48" t="s">
        <v>26</v>
      </c>
      <c r="O48" t="s">
        <v>27</v>
      </c>
      <c r="P48" t="s">
        <v>27</v>
      </c>
      <c r="Q48" t="s">
        <v>28</v>
      </c>
      <c r="R48" s="7">
        <v>45733</v>
      </c>
      <c r="S48">
        <v>4.5</v>
      </c>
      <c r="T48">
        <v>4</v>
      </c>
      <c r="U48" t="s">
        <v>29</v>
      </c>
    </row>
    <row r="49" spans="1:21" x14ac:dyDescent="0.3">
      <c r="A49" t="s">
        <v>108</v>
      </c>
      <c r="B49" t="s">
        <v>40</v>
      </c>
      <c r="C49" t="s">
        <v>38</v>
      </c>
      <c r="D49">
        <v>4.3</v>
      </c>
      <c r="E49" t="s">
        <v>48</v>
      </c>
      <c r="F49" t="s">
        <v>25</v>
      </c>
      <c r="G49">
        <v>4050</v>
      </c>
      <c r="H49">
        <v>22</v>
      </c>
      <c r="I49">
        <v>88</v>
      </c>
      <c r="J49">
        <v>79</v>
      </c>
      <c r="K49">
        <v>89.8</v>
      </c>
      <c r="L49" t="s">
        <v>26</v>
      </c>
      <c r="M49" t="s">
        <v>27</v>
      </c>
      <c r="N49" t="s">
        <v>26</v>
      </c>
      <c r="O49" t="s">
        <v>27</v>
      </c>
      <c r="P49" t="s">
        <v>27</v>
      </c>
      <c r="Q49" t="s">
        <v>65</v>
      </c>
      <c r="R49" s="7">
        <v>46202</v>
      </c>
      <c r="S49">
        <v>2.8</v>
      </c>
      <c r="T49">
        <v>9</v>
      </c>
      <c r="U49" t="s">
        <v>29</v>
      </c>
    </row>
    <row r="50" spans="1:21" x14ac:dyDescent="0.3">
      <c r="A50" t="s">
        <v>109</v>
      </c>
      <c r="B50" t="s">
        <v>60</v>
      </c>
      <c r="C50" t="s">
        <v>23</v>
      </c>
      <c r="D50">
        <v>4.7</v>
      </c>
      <c r="E50" t="s">
        <v>54</v>
      </c>
      <c r="F50" t="s">
        <v>49</v>
      </c>
      <c r="G50">
        <v>11500</v>
      </c>
      <c r="H50">
        <v>21</v>
      </c>
      <c r="I50">
        <v>21</v>
      </c>
      <c r="J50">
        <v>17</v>
      </c>
      <c r="K50">
        <v>81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35</v>
      </c>
      <c r="R50" s="7">
        <v>45883</v>
      </c>
      <c r="S50">
        <v>4</v>
      </c>
      <c r="T50">
        <v>17</v>
      </c>
      <c r="U50" t="s">
        <v>29</v>
      </c>
    </row>
    <row r="51" spans="1:21" x14ac:dyDescent="0.3">
      <c r="A51" t="s">
        <v>110</v>
      </c>
      <c r="B51" t="s">
        <v>60</v>
      </c>
      <c r="C51" t="s">
        <v>64</v>
      </c>
      <c r="D51">
        <v>2.2999999999999998</v>
      </c>
      <c r="E51" t="s">
        <v>24</v>
      </c>
      <c r="F51" t="s">
        <v>25</v>
      </c>
      <c r="G51">
        <v>5750</v>
      </c>
      <c r="H51">
        <v>26</v>
      </c>
      <c r="I51">
        <v>52</v>
      </c>
      <c r="J51">
        <v>47</v>
      </c>
      <c r="K51">
        <v>90.4</v>
      </c>
      <c r="L51" t="s">
        <v>26</v>
      </c>
      <c r="M51" t="s">
        <v>27</v>
      </c>
      <c r="N51" t="s">
        <v>27</v>
      </c>
      <c r="O51" t="s">
        <v>26</v>
      </c>
      <c r="P51" t="s">
        <v>26</v>
      </c>
      <c r="Q51" t="s">
        <v>28</v>
      </c>
      <c r="R51" s="7">
        <v>45739</v>
      </c>
      <c r="S51">
        <v>4</v>
      </c>
      <c r="T51">
        <v>3</v>
      </c>
      <c r="U51" t="s">
        <v>29</v>
      </c>
    </row>
    <row r="52" spans="1:21" x14ac:dyDescent="0.3">
      <c r="A52" t="s">
        <v>111</v>
      </c>
      <c r="B52" t="s">
        <v>40</v>
      </c>
      <c r="C52" t="s">
        <v>44</v>
      </c>
      <c r="D52">
        <v>6.8</v>
      </c>
      <c r="E52" t="s">
        <v>24</v>
      </c>
      <c r="F52" t="s">
        <v>49</v>
      </c>
      <c r="G52">
        <v>4000</v>
      </c>
      <c r="H52">
        <v>11</v>
      </c>
      <c r="I52">
        <v>22</v>
      </c>
      <c r="J52">
        <v>12</v>
      </c>
      <c r="K52">
        <v>54.5</v>
      </c>
      <c r="L52" t="s">
        <v>27</v>
      </c>
      <c r="M52" t="s">
        <v>26</v>
      </c>
      <c r="N52" t="s">
        <v>26</v>
      </c>
      <c r="O52" t="s">
        <v>26</v>
      </c>
      <c r="P52" t="s">
        <v>27</v>
      </c>
      <c r="Q52" t="s">
        <v>28</v>
      </c>
      <c r="R52" s="7">
        <v>45981</v>
      </c>
      <c r="S52">
        <v>4.5999999999999996</v>
      </c>
      <c r="T52">
        <v>12</v>
      </c>
      <c r="U52" t="s">
        <v>29</v>
      </c>
    </row>
    <row r="53" spans="1:21" x14ac:dyDescent="0.3">
      <c r="A53" t="s">
        <v>112</v>
      </c>
      <c r="B53" t="s">
        <v>85</v>
      </c>
      <c r="C53" t="s">
        <v>38</v>
      </c>
      <c r="D53">
        <v>4.5999999999999996</v>
      </c>
      <c r="E53" t="s">
        <v>48</v>
      </c>
      <c r="F53" t="s">
        <v>34</v>
      </c>
      <c r="G53">
        <v>4550</v>
      </c>
      <c r="H53">
        <v>28</v>
      </c>
      <c r="I53">
        <v>112</v>
      </c>
      <c r="J53">
        <v>71</v>
      </c>
      <c r="K53">
        <v>63.4</v>
      </c>
      <c r="L53" t="s">
        <v>26</v>
      </c>
      <c r="M53" t="s">
        <v>26</v>
      </c>
      <c r="N53" t="s">
        <v>27</v>
      </c>
      <c r="O53" t="s">
        <v>26</v>
      </c>
      <c r="P53" t="s">
        <v>26</v>
      </c>
      <c r="Q53" t="s">
        <v>28</v>
      </c>
      <c r="R53" s="7">
        <v>45693</v>
      </c>
      <c r="S53">
        <v>3.8</v>
      </c>
      <c r="T53">
        <v>18</v>
      </c>
      <c r="U53" t="s">
        <v>29</v>
      </c>
    </row>
    <row r="54" spans="1:21" x14ac:dyDescent="0.3">
      <c r="A54" t="s">
        <v>113</v>
      </c>
      <c r="B54" t="s">
        <v>70</v>
      </c>
      <c r="C54" t="s">
        <v>64</v>
      </c>
      <c r="D54">
        <v>4</v>
      </c>
      <c r="E54" t="s">
        <v>48</v>
      </c>
      <c r="F54" t="s">
        <v>34</v>
      </c>
      <c r="G54">
        <v>2800</v>
      </c>
      <c r="H54">
        <v>19</v>
      </c>
      <c r="I54">
        <v>76</v>
      </c>
      <c r="J54">
        <v>63</v>
      </c>
      <c r="K54">
        <v>82.9</v>
      </c>
      <c r="L54" t="s">
        <v>26</v>
      </c>
      <c r="M54" t="s">
        <v>27</v>
      </c>
      <c r="N54" t="s">
        <v>26</v>
      </c>
      <c r="O54" t="s">
        <v>27</v>
      </c>
      <c r="P54" t="s">
        <v>26</v>
      </c>
      <c r="Q54" t="s">
        <v>28</v>
      </c>
      <c r="R54" s="7">
        <v>46113</v>
      </c>
      <c r="S54">
        <v>3.9</v>
      </c>
      <c r="T54">
        <v>10</v>
      </c>
      <c r="U54" t="s">
        <v>29</v>
      </c>
    </row>
    <row r="55" spans="1:21" x14ac:dyDescent="0.3">
      <c r="A55" t="s">
        <v>114</v>
      </c>
      <c r="B55" t="s">
        <v>46</v>
      </c>
      <c r="C55" t="s">
        <v>32</v>
      </c>
      <c r="D55">
        <v>5.3</v>
      </c>
      <c r="E55" t="s">
        <v>33</v>
      </c>
      <c r="F55" t="s">
        <v>25</v>
      </c>
      <c r="G55">
        <v>5000</v>
      </c>
      <c r="H55">
        <v>33</v>
      </c>
      <c r="I55">
        <v>99</v>
      </c>
      <c r="J55">
        <v>38</v>
      </c>
      <c r="K55">
        <v>38.4</v>
      </c>
      <c r="L55" t="s">
        <v>26</v>
      </c>
      <c r="M55" t="s">
        <v>26</v>
      </c>
      <c r="N55" t="s">
        <v>26</v>
      </c>
      <c r="O55" t="s">
        <v>26</v>
      </c>
      <c r="P55" t="s">
        <v>26</v>
      </c>
      <c r="Q55" t="s">
        <v>35</v>
      </c>
      <c r="R55" s="7">
        <v>46132</v>
      </c>
      <c r="S55">
        <v>4.2</v>
      </c>
      <c r="T55">
        <v>12</v>
      </c>
      <c r="U55" t="s">
        <v>29</v>
      </c>
    </row>
    <row r="56" spans="1:21" x14ac:dyDescent="0.3">
      <c r="A56" t="s">
        <v>115</v>
      </c>
      <c r="B56" t="s">
        <v>56</v>
      </c>
      <c r="C56" t="s">
        <v>64</v>
      </c>
      <c r="D56">
        <v>3.2</v>
      </c>
      <c r="E56" t="s">
        <v>24</v>
      </c>
      <c r="F56" t="s">
        <v>34</v>
      </c>
      <c r="G56">
        <v>7500</v>
      </c>
      <c r="H56">
        <v>31</v>
      </c>
      <c r="I56">
        <v>62</v>
      </c>
      <c r="J56">
        <v>60</v>
      </c>
      <c r="K56">
        <v>96.8</v>
      </c>
      <c r="L56" t="s">
        <v>26</v>
      </c>
      <c r="M56" t="s">
        <v>26</v>
      </c>
      <c r="N56" t="s">
        <v>26</v>
      </c>
      <c r="O56" t="s">
        <v>27</v>
      </c>
      <c r="P56" t="s">
        <v>26</v>
      </c>
      <c r="Q56" t="s">
        <v>28</v>
      </c>
      <c r="R56" s="7">
        <v>46177</v>
      </c>
      <c r="S56">
        <v>3.2</v>
      </c>
      <c r="T56">
        <v>9</v>
      </c>
      <c r="U56" t="s">
        <v>29</v>
      </c>
    </row>
    <row r="57" spans="1:21" x14ac:dyDescent="0.3">
      <c r="A57" t="s">
        <v>116</v>
      </c>
      <c r="B57" t="s">
        <v>56</v>
      </c>
      <c r="C57" t="s">
        <v>47</v>
      </c>
      <c r="D57">
        <v>5.4</v>
      </c>
      <c r="E57" t="s">
        <v>33</v>
      </c>
      <c r="F57" t="s">
        <v>25</v>
      </c>
      <c r="G57">
        <v>4500</v>
      </c>
      <c r="H57">
        <v>8</v>
      </c>
      <c r="I57">
        <v>24</v>
      </c>
      <c r="J57">
        <v>21</v>
      </c>
      <c r="K57">
        <v>87.5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35</v>
      </c>
      <c r="R57" s="7">
        <v>45762</v>
      </c>
      <c r="S57">
        <v>4.3</v>
      </c>
      <c r="T57">
        <v>15</v>
      </c>
      <c r="U57" t="s">
        <v>29</v>
      </c>
    </row>
    <row r="58" spans="1:21" x14ac:dyDescent="0.3">
      <c r="A58" t="s">
        <v>117</v>
      </c>
      <c r="B58" t="s">
        <v>58</v>
      </c>
      <c r="C58" t="s">
        <v>41</v>
      </c>
      <c r="D58">
        <v>3.2</v>
      </c>
      <c r="E58" t="s">
        <v>48</v>
      </c>
      <c r="F58" t="s">
        <v>49</v>
      </c>
      <c r="G58">
        <v>3550</v>
      </c>
      <c r="H58">
        <v>23</v>
      </c>
      <c r="I58">
        <v>92</v>
      </c>
      <c r="J58">
        <v>61</v>
      </c>
      <c r="K58">
        <v>66.3</v>
      </c>
      <c r="L58" t="s">
        <v>26</v>
      </c>
      <c r="M58" t="s">
        <v>26</v>
      </c>
      <c r="N58" t="s">
        <v>27</v>
      </c>
      <c r="O58" t="s">
        <v>27</v>
      </c>
      <c r="P58" t="s">
        <v>26</v>
      </c>
      <c r="Q58" t="s">
        <v>28</v>
      </c>
      <c r="R58" s="7">
        <v>45815</v>
      </c>
      <c r="S58">
        <v>4.2</v>
      </c>
      <c r="T58">
        <v>8</v>
      </c>
      <c r="U58" t="s">
        <v>29</v>
      </c>
    </row>
    <row r="59" spans="1:21" x14ac:dyDescent="0.3">
      <c r="A59" t="s">
        <v>118</v>
      </c>
      <c r="B59" t="s">
        <v>53</v>
      </c>
      <c r="C59" t="s">
        <v>41</v>
      </c>
      <c r="D59">
        <v>6.2</v>
      </c>
      <c r="E59" t="s">
        <v>33</v>
      </c>
      <c r="F59" t="s">
        <v>25</v>
      </c>
      <c r="G59">
        <v>5250</v>
      </c>
      <c r="H59">
        <v>27</v>
      </c>
      <c r="I59">
        <v>81</v>
      </c>
      <c r="J59">
        <v>81</v>
      </c>
      <c r="K59">
        <v>100</v>
      </c>
      <c r="L59" t="s">
        <v>27</v>
      </c>
      <c r="M59" t="s">
        <v>26</v>
      </c>
      <c r="N59" t="s">
        <v>27</v>
      </c>
      <c r="O59" t="s">
        <v>26</v>
      </c>
      <c r="P59" t="s">
        <v>27</v>
      </c>
      <c r="Q59" t="s">
        <v>65</v>
      </c>
      <c r="R59" s="7">
        <v>46168</v>
      </c>
      <c r="S59">
        <v>2.9</v>
      </c>
      <c r="T59">
        <v>10</v>
      </c>
      <c r="U59" t="s">
        <v>29</v>
      </c>
    </row>
    <row r="60" spans="1:21" x14ac:dyDescent="0.3">
      <c r="A60" t="s">
        <v>119</v>
      </c>
      <c r="B60" t="s">
        <v>72</v>
      </c>
      <c r="C60" t="s">
        <v>32</v>
      </c>
      <c r="D60">
        <v>3.5</v>
      </c>
      <c r="E60" t="s">
        <v>33</v>
      </c>
      <c r="F60" t="s">
        <v>25</v>
      </c>
      <c r="G60">
        <v>3250</v>
      </c>
      <c r="H60">
        <v>23</v>
      </c>
      <c r="I60">
        <v>69</v>
      </c>
      <c r="J60">
        <v>60</v>
      </c>
      <c r="K60">
        <v>87</v>
      </c>
      <c r="L60" t="s">
        <v>26</v>
      </c>
      <c r="M60" t="s">
        <v>27</v>
      </c>
      <c r="N60" t="s">
        <v>26</v>
      </c>
      <c r="O60" t="s">
        <v>26</v>
      </c>
      <c r="P60" t="s">
        <v>27</v>
      </c>
      <c r="Q60" t="s">
        <v>28</v>
      </c>
      <c r="R60" s="7">
        <v>46059</v>
      </c>
      <c r="S60">
        <v>3.4</v>
      </c>
      <c r="T60">
        <v>12</v>
      </c>
      <c r="U60" t="s">
        <v>29</v>
      </c>
    </row>
    <row r="61" spans="1:21" x14ac:dyDescent="0.3">
      <c r="A61" t="s">
        <v>120</v>
      </c>
      <c r="B61" t="s">
        <v>75</v>
      </c>
      <c r="C61" t="s">
        <v>64</v>
      </c>
      <c r="D61">
        <v>7.2</v>
      </c>
      <c r="E61" t="s">
        <v>24</v>
      </c>
      <c r="F61" t="s">
        <v>49</v>
      </c>
      <c r="G61">
        <v>7500</v>
      </c>
      <c r="H61">
        <v>45</v>
      </c>
      <c r="I61">
        <v>90</v>
      </c>
      <c r="J61">
        <v>52</v>
      </c>
      <c r="K61">
        <v>57.8</v>
      </c>
      <c r="L61" t="s">
        <v>27</v>
      </c>
      <c r="M61" t="s">
        <v>26</v>
      </c>
      <c r="N61" t="s">
        <v>27</v>
      </c>
      <c r="O61" t="s">
        <v>27</v>
      </c>
      <c r="P61" t="s">
        <v>26</v>
      </c>
      <c r="Q61" t="s">
        <v>65</v>
      </c>
      <c r="R61" s="7">
        <v>45769</v>
      </c>
      <c r="S61">
        <v>4.5</v>
      </c>
      <c r="T61">
        <v>4</v>
      </c>
      <c r="U61" t="s">
        <v>29</v>
      </c>
    </row>
    <row r="62" spans="1:21" x14ac:dyDescent="0.3">
      <c r="A62" t="s">
        <v>121</v>
      </c>
      <c r="B62" t="s">
        <v>75</v>
      </c>
      <c r="C62" t="s">
        <v>38</v>
      </c>
      <c r="D62">
        <v>3.6</v>
      </c>
      <c r="E62" t="s">
        <v>33</v>
      </c>
      <c r="F62" t="s">
        <v>49</v>
      </c>
      <c r="G62">
        <v>3750</v>
      </c>
      <c r="H62">
        <v>33</v>
      </c>
      <c r="I62">
        <v>99</v>
      </c>
      <c r="J62">
        <v>44</v>
      </c>
      <c r="K62">
        <v>44.4</v>
      </c>
      <c r="L62" t="s">
        <v>27</v>
      </c>
      <c r="M62" t="s">
        <v>26</v>
      </c>
      <c r="N62" t="s">
        <v>27</v>
      </c>
      <c r="O62" t="s">
        <v>27</v>
      </c>
      <c r="P62" t="s">
        <v>26</v>
      </c>
      <c r="Q62" t="s">
        <v>65</v>
      </c>
      <c r="R62" s="7">
        <v>46003</v>
      </c>
      <c r="S62">
        <v>4.0999999999999996</v>
      </c>
      <c r="T62">
        <v>2</v>
      </c>
      <c r="U62" t="s">
        <v>29</v>
      </c>
    </row>
    <row r="63" spans="1:21" x14ac:dyDescent="0.3">
      <c r="A63" t="s">
        <v>122</v>
      </c>
      <c r="B63" t="s">
        <v>40</v>
      </c>
      <c r="C63" t="s">
        <v>38</v>
      </c>
      <c r="D63">
        <v>3.4</v>
      </c>
      <c r="E63" t="s">
        <v>54</v>
      </c>
      <c r="F63" t="s">
        <v>49</v>
      </c>
      <c r="G63">
        <v>11500</v>
      </c>
      <c r="H63">
        <v>14</v>
      </c>
      <c r="I63">
        <v>14</v>
      </c>
      <c r="J63">
        <v>11</v>
      </c>
      <c r="K63">
        <v>78.599999999999994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35</v>
      </c>
      <c r="R63" s="7">
        <v>45837</v>
      </c>
      <c r="S63">
        <v>4.8</v>
      </c>
      <c r="T63">
        <v>9</v>
      </c>
      <c r="U63" t="s">
        <v>29</v>
      </c>
    </row>
    <row r="64" spans="1:21" x14ac:dyDescent="0.3">
      <c r="A64" t="s">
        <v>123</v>
      </c>
      <c r="B64" t="s">
        <v>51</v>
      </c>
      <c r="C64" t="s">
        <v>32</v>
      </c>
      <c r="D64">
        <v>1.3</v>
      </c>
      <c r="E64" t="s">
        <v>48</v>
      </c>
      <c r="F64" t="s">
        <v>49</v>
      </c>
      <c r="G64">
        <v>4050</v>
      </c>
      <c r="H64">
        <v>19</v>
      </c>
      <c r="I64">
        <v>76</v>
      </c>
      <c r="J64">
        <v>36</v>
      </c>
      <c r="K64">
        <v>47.4</v>
      </c>
      <c r="L64" t="s">
        <v>26</v>
      </c>
      <c r="M64" t="s">
        <v>27</v>
      </c>
      <c r="N64" t="s">
        <v>27</v>
      </c>
      <c r="O64" t="s">
        <v>26</v>
      </c>
      <c r="P64" t="s">
        <v>27</v>
      </c>
      <c r="Q64" t="s">
        <v>65</v>
      </c>
      <c r="R64" s="7">
        <v>45846</v>
      </c>
      <c r="S64">
        <v>4.4000000000000004</v>
      </c>
      <c r="T64">
        <v>18</v>
      </c>
      <c r="U64" t="s">
        <v>29</v>
      </c>
    </row>
    <row r="65" spans="1:21" x14ac:dyDescent="0.3">
      <c r="A65" t="s">
        <v>124</v>
      </c>
      <c r="B65" t="s">
        <v>85</v>
      </c>
      <c r="C65" t="s">
        <v>41</v>
      </c>
      <c r="D65">
        <v>5.0999999999999996</v>
      </c>
      <c r="E65" t="s">
        <v>48</v>
      </c>
      <c r="F65" t="s">
        <v>49</v>
      </c>
      <c r="G65">
        <v>2800</v>
      </c>
      <c r="H65">
        <v>42</v>
      </c>
      <c r="I65">
        <v>168</v>
      </c>
      <c r="J65">
        <v>78</v>
      </c>
      <c r="K65">
        <v>46.4</v>
      </c>
      <c r="L65" t="s">
        <v>26</v>
      </c>
      <c r="M65" t="s">
        <v>27</v>
      </c>
      <c r="N65" t="s">
        <v>27</v>
      </c>
      <c r="O65" t="s">
        <v>27</v>
      </c>
      <c r="P65" t="s">
        <v>26</v>
      </c>
      <c r="Q65" t="s">
        <v>65</v>
      </c>
      <c r="R65" s="7">
        <v>45742</v>
      </c>
      <c r="S65">
        <v>4.5</v>
      </c>
      <c r="T65">
        <v>8</v>
      </c>
      <c r="U65" t="s">
        <v>29</v>
      </c>
    </row>
    <row r="66" spans="1:21" x14ac:dyDescent="0.3">
      <c r="A66" t="s">
        <v>125</v>
      </c>
      <c r="B66" t="s">
        <v>58</v>
      </c>
      <c r="C66" t="s">
        <v>47</v>
      </c>
      <c r="D66">
        <v>7.5</v>
      </c>
      <c r="E66" t="s">
        <v>48</v>
      </c>
      <c r="F66" t="s">
        <v>25</v>
      </c>
      <c r="G66">
        <v>2050</v>
      </c>
      <c r="H66">
        <v>23</v>
      </c>
      <c r="I66">
        <v>92</v>
      </c>
      <c r="J66">
        <v>56</v>
      </c>
      <c r="K66">
        <v>60.9</v>
      </c>
      <c r="L66" t="s">
        <v>27</v>
      </c>
      <c r="M66" t="s">
        <v>26</v>
      </c>
      <c r="N66" t="s">
        <v>26</v>
      </c>
      <c r="O66" t="s">
        <v>26</v>
      </c>
      <c r="P66" t="s">
        <v>26</v>
      </c>
      <c r="Q66" t="s">
        <v>28</v>
      </c>
      <c r="R66" s="7">
        <v>46034</v>
      </c>
      <c r="S66">
        <v>3.2</v>
      </c>
      <c r="T66">
        <v>0</v>
      </c>
      <c r="U66" t="s">
        <v>29</v>
      </c>
    </row>
    <row r="67" spans="1:21" x14ac:dyDescent="0.3">
      <c r="A67" t="s">
        <v>126</v>
      </c>
      <c r="B67" t="s">
        <v>67</v>
      </c>
      <c r="C67" t="s">
        <v>64</v>
      </c>
      <c r="D67">
        <v>6.3</v>
      </c>
      <c r="E67" t="s">
        <v>33</v>
      </c>
      <c r="F67" t="s">
        <v>25</v>
      </c>
      <c r="G67">
        <v>5500</v>
      </c>
      <c r="H67">
        <v>22</v>
      </c>
      <c r="I67">
        <v>66</v>
      </c>
      <c r="J67">
        <v>61</v>
      </c>
      <c r="K67">
        <v>92.4</v>
      </c>
      <c r="L67" t="s">
        <v>26</v>
      </c>
      <c r="M67" t="s">
        <v>26</v>
      </c>
      <c r="N67" t="s">
        <v>27</v>
      </c>
      <c r="O67" t="s">
        <v>26</v>
      </c>
      <c r="P67" t="s">
        <v>26</v>
      </c>
      <c r="Q67" t="s">
        <v>28</v>
      </c>
      <c r="R67" s="7">
        <v>46027</v>
      </c>
      <c r="S67">
        <v>3.7</v>
      </c>
      <c r="T67">
        <v>3</v>
      </c>
      <c r="U67" t="s">
        <v>29</v>
      </c>
    </row>
    <row r="68" spans="1:21" x14ac:dyDescent="0.3">
      <c r="A68" t="s">
        <v>127</v>
      </c>
      <c r="B68" t="s">
        <v>67</v>
      </c>
      <c r="C68" t="s">
        <v>41</v>
      </c>
      <c r="D68">
        <v>6</v>
      </c>
      <c r="E68" t="s">
        <v>54</v>
      </c>
      <c r="F68" t="s">
        <v>49</v>
      </c>
      <c r="G68">
        <v>10000</v>
      </c>
      <c r="H68">
        <v>31</v>
      </c>
      <c r="I68">
        <v>31</v>
      </c>
      <c r="J68">
        <v>14</v>
      </c>
      <c r="K68">
        <v>45.2</v>
      </c>
      <c r="L68" t="s">
        <v>27</v>
      </c>
      <c r="M68" t="s">
        <v>26</v>
      </c>
      <c r="N68" t="s">
        <v>27</v>
      </c>
      <c r="O68" t="s">
        <v>26</v>
      </c>
      <c r="P68" t="s">
        <v>26</v>
      </c>
      <c r="Q68" t="s">
        <v>28</v>
      </c>
      <c r="R68" s="7">
        <v>45759</v>
      </c>
      <c r="S68">
        <v>4.5</v>
      </c>
      <c r="T68">
        <v>6</v>
      </c>
      <c r="U68" t="s">
        <v>29</v>
      </c>
    </row>
    <row r="69" spans="1:21" x14ac:dyDescent="0.3">
      <c r="A69" t="s">
        <v>128</v>
      </c>
      <c r="B69" t="s">
        <v>53</v>
      </c>
      <c r="C69" t="s">
        <v>41</v>
      </c>
      <c r="D69">
        <v>6.3</v>
      </c>
      <c r="E69" t="s">
        <v>33</v>
      </c>
      <c r="F69" t="s">
        <v>25</v>
      </c>
      <c r="G69">
        <v>4250</v>
      </c>
      <c r="H69">
        <v>26</v>
      </c>
      <c r="I69">
        <v>78</v>
      </c>
      <c r="J69">
        <v>74</v>
      </c>
      <c r="K69">
        <v>94.9</v>
      </c>
      <c r="L69" t="s">
        <v>26</v>
      </c>
      <c r="M69" t="s">
        <v>26</v>
      </c>
      <c r="N69" t="s">
        <v>26</v>
      </c>
      <c r="O69" t="s">
        <v>26</v>
      </c>
      <c r="P69" t="s">
        <v>27</v>
      </c>
      <c r="Q69" t="s">
        <v>28</v>
      </c>
      <c r="R69" s="7">
        <v>46013</v>
      </c>
      <c r="S69">
        <v>4.5</v>
      </c>
      <c r="T69">
        <v>12</v>
      </c>
      <c r="U69" t="s">
        <v>29</v>
      </c>
    </row>
    <row r="70" spans="1:21" x14ac:dyDescent="0.3">
      <c r="A70" t="s">
        <v>129</v>
      </c>
      <c r="B70" t="s">
        <v>51</v>
      </c>
      <c r="C70" t="s">
        <v>38</v>
      </c>
      <c r="D70">
        <v>6</v>
      </c>
      <c r="E70" t="s">
        <v>54</v>
      </c>
      <c r="F70" t="s">
        <v>25</v>
      </c>
      <c r="G70">
        <v>7500</v>
      </c>
      <c r="H70">
        <v>42</v>
      </c>
      <c r="I70">
        <v>42</v>
      </c>
      <c r="J70">
        <v>17</v>
      </c>
      <c r="K70">
        <v>40.5</v>
      </c>
      <c r="L70" t="s">
        <v>27</v>
      </c>
      <c r="M70" t="s">
        <v>26</v>
      </c>
      <c r="N70" t="s">
        <v>27</v>
      </c>
      <c r="O70" t="s">
        <v>26</v>
      </c>
      <c r="P70" t="s">
        <v>26</v>
      </c>
      <c r="Q70" t="s">
        <v>28</v>
      </c>
      <c r="R70" s="7">
        <v>46132</v>
      </c>
      <c r="S70">
        <v>3.7</v>
      </c>
      <c r="T70">
        <v>3</v>
      </c>
      <c r="U70" t="s">
        <v>29</v>
      </c>
    </row>
    <row r="71" spans="1:21" x14ac:dyDescent="0.3">
      <c r="A71" t="s">
        <v>130</v>
      </c>
      <c r="B71" t="s">
        <v>72</v>
      </c>
      <c r="C71" t="s">
        <v>81</v>
      </c>
      <c r="D71">
        <v>6.9</v>
      </c>
      <c r="E71" t="s">
        <v>24</v>
      </c>
      <c r="F71" t="s">
        <v>49</v>
      </c>
      <c r="G71">
        <v>4000</v>
      </c>
      <c r="H71">
        <v>37</v>
      </c>
      <c r="I71">
        <v>74</v>
      </c>
      <c r="J71">
        <v>69</v>
      </c>
      <c r="K71">
        <v>93.2</v>
      </c>
      <c r="L71" t="s">
        <v>26</v>
      </c>
      <c r="M71" t="s">
        <v>26</v>
      </c>
      <c r="N71" t="s">
        <v>26</v>
      </c>
      <c r="O71" t="s">
        <v>27</v>
      </c>
      <c r="P71" t="s">
        <v>26</v>
      </c>
      <c r="Q71" t="s">
        <v>28</v>
      </c>
      <c r="R71" s="7">
        <v>45976</v>
      </c>
      <c r="S71">
        <v>3.4</v>
      </c>
      <c r="T71">
        <v>9</v>
      </c>
      <c r="U71" t="s">
        <v>29</v>
      </c>
    </row>
    <row r="72" spans="1:21" x14ac:dyDescent="0.3">
      <c r="A72" t="s">
        <v>131</v>
      </c>
      <c r="B72" t="s">
        <v>22</v>
      </c>
      <c r="C72" t="s">
        <v>38</v>
      </c>
      <c r="D72">
        <v>1.9</v>
      </c>
      <c r="E72" t="s">
        <v>24</v>
      </c>
      <c r="F72" t="s">
        <v>25</v>
      </c>
      <c r="G72">
        <v>6500</v>
      </c>
      <c r="H72">
        <v>37</v>
      </c>
      <c r="I72">
        <v>74</v>
      </c>
      <c r="J72">
        <v>48</v>
      </c>
      <c r="K72">
        <v>64.900000000000006</v>
      </c>
      <c r="L72" t="s">
        <v>26</v>
      </c>
      <c r="M72" t="s">
        <v>27</v>
      </c>
      <c r="N72" t="s">
        <v>26</v>
      </c>
      <c r="O72" t="s">
        <v>27</v>
      </c>
      <c r="P72" t="s">
        <v>26</v>
      </c>
      <c r="Q72" t="s">
        <v>28</v>
      </c>
      <c r="R72" s="7">
        <v>46220</v>
      </c>
      <c r="S72">
        <v>4.4000000000000004</v>
      </c>
      <c r="T72">
        <v>13</v>
      </c>
      <c r="U72" t="s">
        <v>29</v>
      </c>
    </row>
    <row r="73" spans="1:21" x14ac:dyDescent="0.3">
      <c r="A73" t="s">
        <v>132</v>
      </c>
      <c r="B73" t="s">
        <v>51</v>
      </c>
      <c r="C73" t="s">
        <v>47</v>
      </c>
      <c r="D73">
        <v>3.4</v>
      </c>
      <c r="E73" t="s">
        <v>24</v>
      </c>
      <c r="F73" t="s">
        <v>49</v>
      </c>
      <c r="G73">
        <v>6250</v>
      </c>
      <c r="H73">
        <v>14</v>
      </c>
      <c r="I73">
        <v>28</v>
      </c>
      <c r="J73">
        <v>20</v>
      </c>
      <c r="K73">
        <v>71.400000000000006</v>
      </c>
      <c r="L73" t="s">
        <v>26</v>
      </c>
      <c r="M73" t="s">
        <v>26</v>
      </c>
      <c r="N73" t="s">
        <v>26</v>
      </c>
      <c r="O73" t="s">
        <v>26</v>
      </c>
      <c r="P73" t="s">
        <v>26</v>
      </c>
      <c r="Q73" t="s">
        <v>35</v>
      </c>
      <c r="R73" s="7">
        <v>46224</v>
      </c>
      <c r="S73">
        <v>3.8</v>
      </c>
      <c r="T73">
        <v>3</v>
      </c>
      <c r="U73" t="s">
        <v>29</v>
      </c>
    </row>
    <row r="74" spans="1:21" x14ac:dyDescent="0.3">
      <c r="A74" t="s">
        <v>133</v>
      </c>
      <c r="B74" t="s">
        <v>43</v>
      </c>
      <c r="C74" t="s">
        <v>47</v>
      </c>
      <c r="D74">
        <v>4.9000000000000004</v>
      </c>
      <c r="E74" t="s">
        <v>54</v>
      </c>
      <c r="F74" t="s">
        <v>25</v>
      </c>
      <c r="G74">
        <v>5750</v>
      </c>
      <c r="H74">
        <v>29</v>
      </c>
      <c r="I74">
        <v>29</v>
      </c>
      <c r="J74">
        <v>17</v>
      </c>
      <c r="K74">
        <v>58.6</v>
      </c>
      <c r="L74" t="s">
        <v>26</v>
      </c>
      <c r="M74" t="s">
        <v>26</v>
      </c>
      <c r="N74" t="s">
        <v>27</v>
      </c>
      <c r="O74" t="s">
        <v>26</v>
      </c>
      <c r="P74" t="s">
        <v>26</v>
      </c>
      <c r="Q74" t="s">
        <v>28</v>
      </c>
      <c r="R74" s="7">
        <v>45795</v>
      </c>
      <c r="S74">
        <v>3.9</v>
      </c>
      <c r="T74">
        <v>7</v>
      </c>
      <c r="U74" t="s">
        <v>29</v>
      </c>
    </row>
    <row r="75" spans="1:21" x14ac:dyDescent="0.3">
      <c r="A75" t="s">
        <v>134</v>
      </c>
      <c r="B75" t="s">
        <v>56</v>
      </c>
      <c r="C75" t="s">
        <v>41</v>
      </c>
      <c r="D75">
        <v>6.5</v>
      </c>
      <c r="E75" t="s">
        <v>24</v>
      </c>
      <c r="F75" t="s">
        <v>25</v>
      </c>
      <c r="G75">
        <v>4500</v>
      </c>
      <c r="H75">
        <v>42</v>
      </c>
      <c r="I75">
        <v>84</v>
      </c>
      <c r="J75">
        <v>45</v>
      </c>
      <c r="K75">
        <v>53.6</v>
      </c>
      <c r="L75" t="s">
        <v>26</v>
      </c>
      <c r="M75" t="s">
        <v>26</v>
      </c>
      <c r="N75" t="s">
        <v>26</v>
      </c>
      <c r="O75" t="s">
        <v>26</v>
      </c>
      <c r="P75" t="s">
        <v>26</v>
      </c>
      <c r="Q75" t="s">
        <v>35</v>
      </c>
      <c r="R75" s="7">
        <v>45845</v>
      </c>
      <c r="S75">
        <v>4.3</v>
      </c>
      <c r="T75">
        <v>7</v>
      </c>
      <c r="U75" t="s">
        <v>29</v>
      </c>
    </row>
    <row r="76" spans="1:21" x14ac:dyDescent="0.3">
      <c r="A76" t="s">
        <v>135</v>
      </c>
      <c r="B76" t="s">
        <v>46</v>
      </c>
      <c r="C76" t="s">
        <v>23</v>
      </c>
      <c r="D76">
        <v>1.5</v>
      </c>
      <c r="E76" t="s">
        <v>54</v>
      </c>
      <c r="F76" t="s">
        <v>34</v>
      </c>
      <c r="G76">
        <v>6500</v>
      </c>
      <c r="H76">
        <v>34</v>
      </c>
      <c r="I76">
        <v>34</v>
      </c>
      <c r="J76">
        <v>27</v>
      </c>
      <c r="K76">
        <v>79.400000000000006</v>
      </c>
      <c r="L76" t="s">
        <v>26</v>
      </c>
      <c r="M76" t="s">
        <v>26</v>
      </c>
      <c r="N76" t="s">
        <v>26</v>
      </c>
      <c r="O76" t="s">
        <v>26</v>
      </c>
      <c r="P76" t="s">
        <v>27</v>
      </c>
      <c r="Q76" t="s">
        <v>28</v>
      </c>
      <c r="R76" s="7">
        <v>45783</v>
      </c>
      <c r="S76">
        <v>2.7</v>
      </c>
      <c r="T76">
        <v>14</v>
      </c>
      <c r="U76" t="s">
        <v>29</v>
      </c>
    </row>
    <row r="77" spans="1:21" x14ac:dyDescent="0.3">
      <c r="A77" t="s">
        <v>136</v>
      </c>
      <c r="B77" t="s">
        <v>53</v>
      </c>
      <c r="C77" t="s">
        <v>41</v>
      </c>
      <c r="D77">
        <v>3.5</v>
      </c>
      <c r="E77" t="s">
        <v>54</v>
      </c>
      <c r="F77" t="s">
        <v>49</v>
      </c>
      <c r="G77">
        <v>5750</v>
      </c>
      <c r="H77">
        <v>38</v>
      </c>
      <c r="I77">
        <v>38</v>
      </c>
      <c r="J77">
        <v>25</v>
      </c>
      <c r="K77">
        <v>65.8</v>
      </c>
      <c r="L77" t="s">
        <v>27</v>
      </c>
      <c r="M77" t="s">
        <v>26</v>
      </c>
      <c r="N77" t="s">
        <v>27</v>
      </c>
      <c r="O77" t="s">
        <v>26</v>
      </c>
      <c r="P77" t="s">
        <v>27</v>
      </c>
      <c r="Q77" t="s">
        <v>65</v>
      </c>
      <c r="R77" s="7">
        <v>46103</v>
      </c>
      <c r="S77">
        <v>4</v>
      </c>
      <c r="T77">
        <v>2</v>
      </c>
      <c r="U77" t="s">
        <v>29</v>
      </c>
    </row>
    <row r="78" spans="1:21" x14ac:dyDescent="0.3">
      <c r="A78" t="s">
        <v>137</v>
      </c>
      <c r="B78" t="s">
        <v>60</v>
      </c>
      <c r="C78" t="s">
        <v>44</v>
      </c>
      <c r="D78">
        <v>0.7</v>
      </c>
      <c r="E78" t="s">
        <v>33</v>
      </c>
      <c r="F78" t="s">
        <v>25</v>
      </c>
      <c r="G78">
        <v>4750</v>
      </c>
      <c r="H78">
        <v>45</v>
      </c>
      <c r="I78">
        <v>135</v>
      </c>
      <c r="J78">
        <v>117</v>
      </c>
      <c r="K78">
        <v>86.7</v>
      </c>
      <c r="L78" t="s">
        <v>27</v>
      </c>
      <c r="M78" t="s">
        <v>26</v>
      </c>
      <c r="N78" t="s">
        <v>26</v>
      </c>
      <c r="O78" t="s">
        <v>27</v>
      </c>
      <c r="P78" t="s">
        <v>26</v>
      </c>
      <c r="Q78" t="s">
        <v>28</v>
      </c>
      <c r="R78" s="7">
        <v>45999</v>
      </c>
      <c r="S78">
        <v>4.5</v>
      </c>
      <c r="T78">
        <v>3</v>
      </c>
      <c r="U78" t="s">
        <v>29</v>
      </c>
    </row>
    <row r="79" spans="1:21" x14ac:dyDescent="0.3">
      <c r="A79" t="s">
        <v>138</v>
      </c>
      <c r="B79" t="s">
        <v>31</v>
      </c>
      <c r="C79" t="s">
        <v>32</v>
      </c>
      <c r="D79">
        <v>3.5</v>
      </c>
      <c r="E79" t="s">
        <v>24</v>
      </c>
      <c r="F79" t="s">
        <v>49</v>
      </c>
      <c r="G79">
        <v>6750</v>
      </c>
      <c r="H79">
        <v>29</v>
      </c>
      <c r="I79">
        <v>58</v>
      </c>
      <c r="J79">
        <v>49</v>
      </c>
      <c r="K79">
        <v>84.5</v>
      </c>
      <c r="L79" t="s">
        <v>27</v>
      </c>
      <c r="M79" t="s">
        <v>26</v>
      </c>
      <c r="N79" t="s">
        <v>26</v>
      </c>
      <c r="O79" t="s">
        <v>27</v>
      </c>
      <c r="P79" t="s">
        <v>26</v>
      </c>
      <c r="Q79" t="s">
        <v>28</v>
      </c>
      <c r="R79" s="7">
        <v>46075</v>
      </c>
      <c r="S79">
        <v>3.4</v>
      </c>
      <c r="T79">
        <v>8</v>
      </c>
      <c r="U79" t="s">
        <v>29</v>
      </c>
    </row>
    <row r="80" spans="1:21" x14ac:dyDescent="0.3">
      <c r="A80" t="s">
        <v>139</v>
      </c>
      <c r="B80" t="s">
        <v>75</v>
      </c>
      <c r="C80" t="s">
        <v>64</v>
      </c>
      <c r="D80">
        <v>0.7</v>
      </c>
      <c r="E80" t="s">
        <v>54</v>
      </c>
      <c r="F80" t="s">
        <v>49</v>
      </c>
      <c r="G80">
        <v>6000</v>
      </c>
      <c r="H80">
        <v>35</v>
      </c>
      <c r="I80">
        <v>35</v>
      </c>
      <c r="J80">
        <v>15</v>
      </c>
      <c r="K80">
        <v>42.9</v>
      </c>
      <c r="L80" t="s">
        <v>26</v>
      </c>
      <c r="M80" t="s">
        <v>26</v>
      </c>
      <c r="N80" t="s">
        <v>27</v>
      </c>
      <c r="O80" t="s">
        <v>26</v>
      </c>
      <c r="P80" t="s">
        <v>26</v>
      </c>
      <c r="Q80" t="s">
        <v>28</v>
      </c>
      <c r="R80" s="7">
        <v>46048</v>
      </c>
      <c r="S80">
        <v>3.5</v>
      </c>
      <c r="T80">
        <v>13</v>
      </c>
      <c r="U80" t="s">
        <v>29</v>
      </c>
    </row>
    <row r="81" spans="1:21" x14ac:dyDescent="0.3">
      <c r="A81" t="s">
        <v>140</v>
      </c>
      <c r="B81" t="s">
        <v>67</v>
      </c>
      <c r="C81" t="s">
        <v>41</v>
      </c>
      <c r="D81">
        <v>4.5999999999999996</v>
      </c>
      <c r="E81" t="s">
        <v>33</v>
      </c>
      <c r="F81" t="s">
        <v>49</v>
      </c>
      <c r="G81">
        <v>2750</v>
      </c>
      <c r="H81">
        <v>44</v>
      </c>
      <c r="I81">
        <v>132</v>
      </c>
      <c r="J81">
        <v>110</v>
      </c>
      <c r="K81">
        <v>83.3</v>
      </c>
      <c r="L81" t="s">
        <v>26</v>
      </c>
      <c r="M81" t="s">
        <v>26</v>
      </c>
      <c r="N81" t="s">
        <v>26</v>
      </c>
      <c r="O81" t="s">
        <v>26</v>
      </c>
      <c r="P81" t="s">
        <v>27</v>
      </c>
      <c r="Q81" t="s">
        <v>28</v>
      </c>
      <c r="R81" s="7">
        <v>45884</v>
      </c>
      <c r="S81">
        <v>4.5999999999999996</v>
      </c>
      <c r="T81">
        <v>17</v>
      </c>
      <c r="U81" t="s">
        <v>29</v>
      </c>
    </row>
    <row r="82" spans="1:21" x14ac:dyDescent="0.3">
      <c r="A82" t="s">
        <v>141</v>
      </c>
      <c r="B82" t="s">
        <v>22</v>
      </c>
      <c r="C82" t="s">
        <v>41</v>
      </c>
      <c r="D82">
        <v>4.4000000000000004</v>
      </c>
      <c r="E82" t="s">
        <v>48</v>
      </c>
      <c r="F82" t="s">
        <v>25</v>
      </c>
      <c r="G82">
        <v>3800</v>
      </c>
      <c r="H82">
        <v>43</v>
      </c>
      <c r="I82">
        <v>172</v>
      </c>
      <c r="J82">
        <v>63</v>
      </c>
      <c r="K82">
        <v>36.6</v>
      </c>
      <c r="L82" t="s">
        <v>26</v>
      </c>
      <c r="M82" t="s">
        <v>26</v>
      </c>
      <c r="N82" t="s">
        <v>26</v>
      </c>
      <c r="O82" t="s">
        <v>26</v>
      </c>
      <c r="P82" t="s">
        <v>26</v>
      </c>
      <c r="Q82" t="s">
        <v>35</v>
      </c>
      <c r="R82" s="7">
        <v>45940</v>
      </c>
      <c r="S82">
        <v>5</v>
      </c>
      <c r="T82">
        <v>11</v>
      </c>
      <c r="U82" t="s">
        <v>29</v>
      </c>
    </row>
    <row r="83" spans="1:21" x14ac:dyDescent="0.3">
      <c r="A83" t="s">
        <v>142</v>
      </c>
      <c r="B83" t="s">
        <v>37</v>
      </c>
      <c r="C83" t="s">
        <v>38</v>
      </c>
      <c r="D83">
        <v>1.2</v>
      </c>
      <c r="E83" t="s">
        <v>54</v>
      </c>
      <c r="F83" t="s">
        <v>25</v>
      </c>
      <c r="G83">
        <v>6000</v>
      </c>
      <c r="H83">
        <v>41</v>
      </c>
      <c r="I83">
        <v>41</v>
      </c>
      <c r="J83">
        <v>20</v>
      </c>
      <c r="K83">
        <v>48.8</v>
      </c>
      <c r="L83" t="s">
        <v>26</v>
      </c>
      <c r="M83" t="s">
        <v>26</v>
      </c>
      <c r="N83" t="s">
        <v>26</v>
      </c>
      <c r="O83" t="s">
        <v>27</v>
      </c>
      <c r="P83" t="s">
        <v>27</v>
      </c>
      <c r="Q83" t="s">
        <v>28</v>
      </c>
      <c r="R83" s="7">
        <v>46052</v>
      </c>
      <c r="S83">
        <v>4</v>
      </c>
      <c r="T83">
        <v>9</v>
      </c>
      <c r="U83" t="s">
        <v>29</v>
      </c>
    </row>
    <row r="84" spans="1:21" x14ac:dyDescent="0.3">
      <c r="A84" t="s">
        <v>143</v>
      </c>
      <c r="B84" t="s">
        <v>46</v>
      </c>
      <c r="C84" t="s">
        <v>38</v>
      </c>
      <c r="D84">
        <v>6.6</v>
      </c>
      <c r="E84" t="s">
        <v>24</v>
      </c>
      <c r="F84" t="s">
        <v>49</v>
      </c>
      <c r="G84">
        <v>4750</v>
      </c>
      <c r="H84">
        <v>11</v>
      </c>
      <c r="I84">
        <v>22</v>
      </c>
      <c r="J84">
        <v>9</v>
      </c>
      <c r="K84">
        <v>40.9</v>
      </c>
      <c r="L84" t="s">
        <v>27</v>
      </c>
      <c r="M84" t="s">
        <v>27</v>
      </c>
      <c r="N84" t="s">
        <v>26</v>
      </c>
      <c r="O84" t="s">
        <v>27</v>
      </c>
      <c r="P84" t="s">
        <v>27</v>
      </c>
      <c r="Q84" t="s">
        <v>65</v>
      </c>
      <c r="R84" s="7">
        <v>45945</v>
      </c>
      <c r="S84">
        <v>4.0999999999999996</v>
      </c>
      <c r="T84">
        <v>8</v>
      </c>
      <c r="U84" t="s">
        <v>29</v>
      </c>
    </row>
    <row r="85" spans="1:21" x14ac:dyDescent="0.3">
      <c r="A85" t="s">
        <v>144</v>
      </c>
      <c r="B85" t="s">
        <v>83</v>
      </c>
      <c r="C85" t="s">
        <v>38</v>
      </c>
      <c r="D85">
        <v>2.2999999999999998</v>
      </c>
      <c r="E85" t="s">
        <v>48</v>
      </c>
      <c r="F85" t="s">
        <v>34</v>
      </c>
      <c r="G85">
        <v>3800</v>
      </c>
      <c r="H85">
        <v>27</v>
      </c>
      <c r="I85">
        <v>108</v>
      </c>
      <c r="J85">
        <v>42</v>
      </c>
      <c r="K85">
        <v>38.9</v>
      </c>
      <c r="L85" t="s">
        <v>26</v>
      </c>
      <c r="M85" t="s">
        <v>26</v>
      </c>
      <c r="N85" t="s">
        <v>26</v>
      </c>
      <c r="O85" t="s">
        <v>27</v>
      </c>
      <c r="P85" t="s">
        <v>26</v>
      </c>
      <c r="Q85" t="s">
        <v>28</v>
      </c>
      <c r="R85" s="7">
        <v>45892</v>
      </c>
      <c r="S85">
        <v>4.5999999999999996</v>
      </c>
      <c r="T85">
        <v>6</v>
      </c>
      <c r="U85" t="s">
        <v>29</v>
      </c>
    </row>
    <row r="86" spans="1:21" x14ac:dyDescent="0.3">
      <c r="A86" t="s">
        <v>145</v>
      </c>
      <c r="B86" t="s">
        <v>78</v>
      </c>
      <c r="C86" t="s">
        <v>41</v>
      </c>
      <c r="D86">
        <v>2.6</v>
      </c>
      <c r="E86" t="s">
        <v>54</v>
      </c>
      <c r="F86" t="s">
        <v>34</v>
      </c>
      <c r="G86">
        <v>9250</v>
      </c>
      <c r="H86">
        <v>35</v>
      </c>
      <c r="I86">
        <v>35</v>
      </c>
      <c r="J86">
        <v>17</v>
      </c>
      <c r="K86">
        <v>48.6</v>
      </c>
      <c r="L86" t="s">
        <v>26</v>
      </c>
      <c r="M86" t="s">
        <v>26</v>
      </c>
      <c r="N86" t="s">
        <v>27</v>
      </c>
      <c r="O86" t="s">
        <v>27</v>
      </c>
      <c r="P86" t="s">
        <v>26</v>
      </c>
      <c r="Q86" t="s">
        <v>28</v>
      </c>
      <c r="R86" s="7">
        <v>45799</v>
      </c>
      <c r="S86">
        <v>4.0999999999999996</v>
      </c>
      <c r="T86">
        <v>12</v>
      </c>
      <c r="U86" t="s">
        <v>29</v>
      </c>
    </row>
    <row r="87" spans="1:21" x14ac:dyDescent="0.3">
      <c r="A87" t="s">
        <v>146</v>
      </c>
      <c r="B87" t="s">
        <v>85</v>
      </c>
      <c r="C87" t="s">
        <v>38</v>
      </c>
      <c r="D87">
        <v>6.5</v>
      </c>
      <c r="E87" t="s">
        <v>48</v>
      </c>
      <c r="F87" t="s">
        <v>25</v>
      </c>
      <c r="G87">
        <v>4050</v>
      </c>
      <c r="H87">
        <v>33</v>
      </c>
      <c r="I87">
        <v>132</v>
      </c>
      <c r="J87">
        <v>127</v>
      </c>
      <c r="K87">
        <v>96.2</v>
      </c>
      <c r="L87" t="s">
        <v>26</v>
      </c>
      <c r="M87" t="s">
        <v>26</v>
      </c>
      <c r="N87" t="s">
        <v>26</v>
      </c>
      <c r="O87" t="s">
        <v>26</v>
      </c>
      <c r="P87" t="s">
        <v>26</v>
      </c>
      <c r="Q87" t="s">
        <v>35</v>
      </c>
      <c r="R87" s="7">
        <v>46094</v>
      </c>
      <c r="S87">
        <v>3.9</v>
      </c>
      <c r="T87">
        <v>5</v>
      </c>
      <c r="U87" t="s">
        <v>29</v>
      </c>
    </row>
    <row r="88" spans="1:21" x14ac:dyDescent="0.3">
      <c r="A88" t="s">
        <v>147</v>
      </c>
      <c r="B88" t="s">
        <v>85</v>
      </c>
      <c r="C88" t="s">
        <v>81</v>
      </c>
      <c r="D88">
        <v>0.8</v>
      </c>
      <c r="E88" t="s">
        <v>54</v>
      </c>
      <c r="F88" t="s">
        <v>25</v>
      </c>
      <c r="G88">
        <v>7250</v>
      </c>
      <c r="H88">
        <v>35</v>
      </c>
      <c r="I88">
        <v>35</v>
      </c>
      <c r="J88">
        <v>30</v>
      </c>
      <c r="K88">
        <v>85.7</v>
      </c>
      <c r="L88" t="s">
        <v>26</v>
      </c>
      <c r="M88" t="s">
        <v>26</v>
      </c>
      <c r="N88" t="s">
        <v>26</v>
      </c>
      <c r="O88" t="s">
        <v>26</v>
      </c>
      <c r="P88" t="s">
        <v>27</v>
      </c>
      <c r="Q88" t="s">
        <v>28</v>
      </c>
      <c r="R88" s="7">
        <v>46077</v>
      </c>
      <c r="S88">
        <v>4</v>
      </c>
      <c r="T88">
        <v>10</v>
      </c>
      <c r="U88" t="s">
        <v>29</v>
      </c>
    </row>
    <row r="89" spans="1:21" x14ac:dyDescent="0.3">
      <c r="A89" t="s">
        <v>148</v>
      </c>
      <c r="B89" t="s">
        <v>22</v>
      </c>
      <c r="C89" t="s">
        <v>47</v>
      </c>
      <c r="D89">
        <v>6.8</v>
      </c>
      <c r="E89" t="s">
        <v>33</v>
      </c>
      <c r="F89" t="s">
        <v>34</v>
      </c>
      <c r="G89">
        <v>3750</v>
      </c>
      <c r="H89">
        <v>17</v>
      </c>
      <c r="I89">
        <v>51</v>
      </c>
      <c r="J89">
        <v>32</v>
      </c>
      <c r="K89">
        <v>62.7</v>
      </c>
      <c r="L89" t="s">
        <v>26</v>
      </c>
      <c r="M89" t="s">
        <v>26</v>
      </c>
      <c r="N89" t="s">
        <v>26</v>
      </c>
      <c r="O89" t="s">
        <v>26</v>
      </c>
      <c r="P89" t="s">
        <v>26</v>
      </c>
      <c r="Q89" t="s">
        <v>35</v>
      </c>
      <c r="R89" s="7">
        <v>45772</v>
      </c>
      <c r="S89">
        <v>3.8</v>
      </c>
      <c r="T89">
        <v>2</v>
      </c>
      <c r="U89" t="s">
        <v>29</v>
      </c>
    </row>
    <row r="90" spans="1:21" x14ac:dyDescent="0.3">
      <c r="A90" t="s">
        <v>149</v>
      </c>
      <c r="B90" t="s">
        <v>150</v>
      </c>
      <c r="C90" t="s">
        <v>64</v>
      </c>
      <c r="D90">
        <v>5.7</v>
      </c>
      <c r="E90" t="s">
        <v>48</v>
      </c>
      <c r="F90" t="s">
        <v>25</v>
      </c>
      <c r="G90">
        <v>4300</v>
      </c>
      <c r="H90">
        <v>44</v>
      </c>
      <c r="I90">
        <v>176</v>
      </c>
      <c r="J90">
        <v>143</v>
      </c>
      <c r="K90">
        <v>81.2</v>
      </c>
      <c r="L90" t="s">
        <v>26</v>
      </c>
      <c r="M90" t="s">
        <v>27</v>
      </c>
      <c r="N90" t="s">
        <v>26</v>
      </c>
      <c r="O90" t="s">
        <v>26</v>
      </c>
      <c r="P90" t="s">
        <v>26</v>
      </c>
      <c r="Q90" t="s">
        <v>28</v>
      </c>
      <c r="R90" s="7">
        <v>45997</v>
      </c>
      <c r="S90">
        <v>3.3</v>
      </c>
      <c r="T90">
        <v>14</v>
      </c>
      <c r="U90" t="s">
        <v>29</v>
      </c>
    </row>
    <row r="91" spans="1:21" x14ac:dyDescent="0.3">
      <c r="A91" t="s">
        <v>151</v>
      </c>
      <c r="B91" t="s">
        <v>67</v>
      </c>
      <c r="C91" t="s">
        <v>81</v>
      </c>
      <c r="D91">
        <v>3.9</v>
      </c>
      <c r="E91" t="s">
        <v>33</v>
      </c>
      <c r="F91" t="s">
        <v>25</v>
      </c>
      <c r="G91">
        <v>4250</v>
      </c>
      <c r="H91">
        <v>36</v>
      </c>
      <c r="I91">
        <v>108</v>
      </c>
      <c r="J91">
        <v>41</v>
      </c>
      <c r="K91">
        <v>38</v>
      </c>
      <c r="L91" t="s">
        <v>26</v>
      </c>
      <c r="M91" t="s">
        <v>27</v>
      </c>
      <c r="N91" t="s">
        <v>26</v>
      </c>
      <c r="O91" t="s">
        <v>26</v>
      </c>
      <c r="P91" t="s">
        <v>26</v>
      </c>
      <c r="Q91" t="s">
        <v>28</v>
      </c>
      <c r="R91" s="7">
        <v>45725</v>
      </c>
      <c r="S91">
        <v>3.3</v>
      </c>
      <c r="T91">
        <v>14</v>
      </c>
      <c r="U91" t="s">
        <v>29</v>
      </c>
    </row>
    <row r="92" spans="1:21" x14ac:dyDescent="0.3">
      <c r="A92" t="s">
        <v>152</v>
      </c>
      <c r="B92" t="s">
        <v>72</v>
      </c>
      <c r="C92" t="s">
        <v>23</v>
      </c>
      <c r="D92">
        <v>3.5</v>
      </c>
      <c r="E92" t="s">
        <v>24</v>
      </c>
      <c r="F92" t="s">
        <v>25</v>
      </c>
      <c r="G92">
        <v>6000</v>
      </c>
      <c r="H92">
        <v>38</v>
      </c>
      <c r="I92">
        <v>76</v>
      </c>
      <c r="J92">
        <v>58</v>
      </c>
      <c r="K92">
        <v>76.3</v>
      </c>
      <c r="L92" t="s">
        <v>26</v>
      </c>
      <c r="M92" t="s">
        <v>26</v>
      </c>
      <c r="N92" t="s">
        <v>26</v>
      </c>
      <c r="O92" t="s">
        <v>26</v>
      </c>
      <c r="P92" t="s">
        <v>27</v>
      </c>
      <c r="Q92" t="s">
        <v>28</v>
      </c>
      <c r="R92" s="7">
        <v>45821</v>
      </c>
      <c r="S92">
        <v>3.9</v>
      </c>
      <c r="T92">
        <v>16</v>
      </c>
      <c r="U92" t="s">
        <v>29</v>
      </c>
    </row>
    <row r="93" spans="1:21" x14ac:dyDescent="0.3">
      <c r="A93" t="s">
        <v>153</v>
      </c>
      <c r="B93" t="s">
        <v>85</v>
      </c>
      <c r="C93" t="s">
        <v>64</v>
      </c>
      <c r="D93">
        <v>4</v>
      </c>
      <c r="E93" t="s">
        <v>24</v>
      </c>
      <c r="F93" t="s">
        <v>49</v>
      </c>
      <c r="G93">
        <v>6250</v>
      </c>
      <c r="H93">
        <v>31</v>
      </c>
      <c r="I93">
        <v>62</v>
      </c>
      <c r="J93">
        <v>39</v>
      </c>
      <c r="K93">
        <v>62.9</v>
      </c>
      <c r="L93" t="s">
        <v>26</v>
      </c>
      <c r="M93" t="s">
        <v>26</v>
      </c>
      <c r="N93" t="s">
        <v>27</v>
      </c>
      <c r="O93" t="s">
        <v>27</v>
      </c>
      <c r="P93" t="s">
        <v>26</v>
      </c>
      <c r="Q93" t="s">
        <v>28</v>
      </c>
      <c r="R93" s="7">
        <v>46063</v>
      </c>
      <c r="S93">
        <v>3.9</v>
      </c>
      <c r="T93">
        <v>2</v>
      </c>
      <c r="U93" t="s">
        <v>29</v>
      </c>
    </row>
    <row r="94" spans="1:21" x14ac:dyDescent="0.3">
      <c r="A94" t="s">
        <v>154</v>
      </c>
      <c r="B94" t="s">
        <v>22</v>
      </c>
      <c r="C94" t="s">
        <v>32</v>
      </c>
      <c r="D94">
        <v>2.2999999999999998</v>
      </c>
      <c r="E94" t="s">
        <v>24</v>
      </c>
      <c r="F94" t="s">
        <v>34</v>
      </c>
      <c r="G94">
        <v>6000</v>
      </c>
      <c r="H94">
        <v>13</v>
      </c>
      <c r="I94">
        <v>26</v>
      </c>
      <c r="J94">
        <v>13</v>
      </c>
      <c r="K94">
        <v>50</v>
      </c>
      <c r="L94" t="s">
        <v>26</v>
      </c>
      <c r="M94" t="s">
        <v>26</v>
      </c>
      <c r="N94" t="s">
        <v>26</v>
      </c>
      <c r="O94" t="s">
        <v>26</v>
      </c>
      <c r="P94" t="s">
        <v>27</v>
      </c>
      <c r="Q94" t="s">
        <v>28</v>
      </c>
      <c r="R94" s="7">
        <v>46025</v>
      </c>
      <c r="S94">
        <v>3.3</v>
      </c>
      <c r="T94">
        <v>17</v>
      </c>
      <c r="U94" t="s">
        <v>29</v>
      </c>
    </row>
    <row r="95" spans="1:21" x14ac:dyDescent="0.3">
      <c r="A95" t="s">
        <v>155</v>
      </c>
      <c r="B95" t="s">
        <v>53</v>
      </c>
      <c r="C95" t="s">
        <v>38</v>
      </c>
      <c r="D95">
        <v>4.9000000000000004</v>
      </c>
      <c r="E95" t="s">
        <v>48</v>
      </c>
      <c r="F95" t="s">
        <v>34</v>
      </c>
      <c r="G95">
        <v>3800</v>
      </c>
      <c r="H95">
        <v>31</v>
      </c>
      <c r="I95">
        <v>124</v>
      </c>
      <c r="J95">
        <v>45</v>
      </c>
      <c r="K95">
        <v>36.299999999999997</v>
      </c>
      <c r="L95" t="s">
        <v>26</v>
      </c>
      <c r="M95" t="s">
        <v>27</v>
      </c>
      <c r="N95" t="s">
        <v>26</v>
      </c>
      <c r="O95" t="s">
        <v>26</v>
      </c>
      <c r="P95" t="s">
        <v>26</v>
      </c>
      <c r="Q95" t="s">
        <v>28</v>
      </c>
      <c r="R95" s="7">
        <v>46038</v>
      </c>
      <c r="S95">
        <v>4.7</v>
      </c>
      <c r="T95">
        <v>6</v>
      </c>
      <c r="U95" t="s">
        <v>29</v>
      </c>
    </row>
    <row r="96" spans="1:21" x14ac:dyDescent="0.3">
      <c r="A96" t="s">
        <v>156</v>
      </c>
      <c r="B96" t="s">
        <v>75</v>
      </c>
      <c r="C96" t="s">
        <v>44</v>
      </c>
      <c r="D96">
        <v>0.8</v>
      </c>
      <c r="E96" t="s">
        <v>54</v>
      </c>
      <c r="F96" t="s">
        <v>25</v>
      </c>
      <c r="G96">
        <v>9500</v>
      </c>
      <c r="H96">
        <v>42</v>
      </c>
      <c r="I96">
        <v>42</v>
      </c>
      <c r="J96">
        <v>40</v>
      </c>
      <c r="K96">
        <v>95.2</v>
      </c>
      <c r="L96" t="s">
        <v>26</v>
      </c>
      <c r="M96" t="s">
        <v>27</v>
      </c>
      <c r="N96" t="s">
        <v>27</v>
      </c>
      <c r="O96" t="s">
        <v>26</v>
      </c>
      <c r="P96" t="s">
        <v>26</v>
      </c>
      <c r="Q96" t="s">
        <v>28</v>
      </c>
      <c r="R96" s="7">
        <v>46206</v>
      </c>
      <c r="S96">
        <v>4.5</v>
      </c>
      <c r="T96">
        <v>4</v>
      </c>
      <c r="U96" t="s">
        <v>29</v>
      </c>
    </row>
    <row r="97" spans="1:21" x14ac:dyDescent="0.3">
      <c r="A97" t="s">
        <v>157</v>
      </c>
      <c r="B97" t="s">
        <v>70</v>
      </c>
      <c r="C97" t="s">
        <v>64</v>
      </c>
      <c r="D97">
        <v>0.5</v>
      </c>
      <c r="E97" t="s">
        <v>33</v>
      </c>
      <c r="F97" t="s">
        <v>34</v>
      </c>
      <c r="G97">
        <v>5000</v>
      </c>
      <c r="H97">
        <v>23</v>
      </c>
      <c r="I97">
        <v>69</v>
      </c>
      <c r="J97">
        <v>52</v>
      </c>
      <c r="K97">
        <v>75.400000000000006</v>
      </c>
      <c r="L97" t="s">
        <v>26</v>
      </c>
      <c r="M97" t="s">
        <v>26</v>
      </c>
      <c r="N97" t="s">
        <v>27</v>
      </c>
      <c r="O97" t="s">
        <v>27</v>
      </c>
      <c r="P97" t="s">
        <v>26</v>
      </c>
      <c r="Q97" t="s">
        <v>28</v>
      </c>
      <c r="R97" s="7">
        <v>45958</v>
      </c>
      <c r="S97">
        <v>4.9000000000000004</v>
      </c>
      <c r="T97">
        <v>15</v>
      </c>
      <c r="U97" t="s">
        <v>29</v>
      </c>
    </row>
    <row r="98" spans="1:21" x14ac:dyDescent="0.3">
      <c r="A98" t="s">
        <v>158</v>
      </c>
      <c r="B98" t="s">
        <v>51</v>
      </c>
      <c r="C98" t="s">
        <v>64</v>
      </c>
      <c r="D98">
        <v>3.6</v>
      </c>
      <c r="E98" t="s">
        <v>33</v>
      </c>
      <c r="F98" t="s">
        <v>25</v>
      </c>
      <c r="G98">
        <v>5500</v>
      </c>
      <c r="H98">
        <v>32</v>
      </c>
      <c r="I98">
        <v>96</v>
      </c>
      <c r="J98">
        <v>86</v>
      </c>
      <c r="K98">
        <v>89.6</v>
      </c>
      <c r="L98" t="s">
        <v>26</v>
      </c>
      <c r="M98" t="s">
        <v>27</v>
      </c>
      <c r="N98" t="s">
        <v>26</v>
      </c>
      <c r="O98" t="s">
        <v>26</v>
      </c>
      <c r="P98" t="s">
        <v>26</v>
      </c>
      <c r="Q98" t="s">
        <v>28</v>
      </c>
      <c r="R98" s="7">
        <v>45832</v>
      </c>
      <c r="S98">
        <v>3.8</v>
      </c>
      <c r="T98">
        <v>11</v>
      </c>
      <c r="U98" t="s">
        <v>29</v>
      </c>
    </row>
    <row r="99" spans="1:21" x14ac:dyDescent="0.3">
      <c r="A99" t="s">
        <v>159</v>
      </c>
      <c r="B99" t="s">
        <v>22</v>
      </c>
      <c r="C99" t="s">
        <v>41</v>
      </c>
      <c r="D99">
        <v>0.8</v>
      </c>
      <c r="E99" t="s">
        <v>24</v>
      </c>
      <c r="F99" t="s">
        <v>49</v>
      </c>
      <c r="G99">
        <v>5500</v>
      </c>
      <c r="H99">
        <v>36</v>
      </c>
      <c r="I99">
        <v>72</v>
      </c>
      <c r="J99">
        <v>57</v>
      </c>
      <c r="K99">
        <v>79.2</v>
      </c>
      <c r="L99" t="s">
        <v>27</v>
      </c>
      <c r="M99" t="s">
        <v>26</v>
      </c>
      <c r="N99" t="s">
        <v>26</v>
      </c>
      <c r="O99" t="s">
        <v>27</v>
      </c>
      <c r="P99" t="s">
        <v>26</v>
      </c>
      <c r="Q99" t="s">
        <v>28</v>
      </c>
      <c r="R99" s="7">
        <v>45817</v>
      </c>
      <c r="S99">
        <v>3.9</v>
      </c>
      <c r="T99">
        <v>0</v>
      </c>
      <c r="U99" t="s">
        <v>29</v>
      </c>
    </row>
    <row r="100" spans="1:21" x14ac:dyDescent="0.3">
      <c r="A100" t="s">
        <v>160</v>
      </c>
      <c r="B100" t="s">
        <v>67</v>
      </c>
      <c r="C100" t="s">
        <v>32</v>
      </c>
      <c r="D100">
        <v>3.9</v>
      </c>
      <c r="E100" t="s">
        <v>24</v>
      </c>
      <c r="F100" t="s">
        <v>49</v>
      </c>
      <c r="G100">
        <v>6500</v>
      </c>
      <c r="H100">
        <v>13</v>
      </c>
      <c r="I100">
        <v>26</v>
      </c>
      <c r="J100">
        <v>20</v>
      </c>
      <c r="K100">
        <v>76.900000000000006</v>
      </c>
      <c r="L100" t="s">
        <v>26</v>
      </c>
      <c r="M100" t="s">
        <v>26</v>
      </c>
      <c r="N100" t="s">
        <v>26</v>
      </c>
      <c r="O100" t="s">
        <v>26</v>
      </c>
      <c r="P100" t="s">
        <v>26</v>
      </c>
      <c r="Q100" t="s">
        <v>35</v>
      </c>
      <c r="R100" s="7">
        <v>45896</v>
      </c>
      <c r="S100">
        <v>5</v>
      </c>
      <c r="T100">
        <v>4</v>
      </c>
      <c r="U100" t="s">
        <v>29</v>
      </c>
    </row>
    <row r="101" spans="1:21" x14ac:dyDescent="0.3">
      <c r="A101" t="s">
        <v>161</v>
      </c>
      <c r="B101" t="s">
        <v>75</v>
      </c>
      <c r="C101" t="s">
        <v>64</v>
      </c>
      <c r="D101">
        <v>3.5</v>
      </c>
      <c r="E101" t="s">
        <v>54</v>
      </c>
      <c r="F101" t="s">
        <v>34</v>
      </c>
      <c r="G101">
        <v>6000</v>
      </c>
      <c r="H101">
        <v>9</v>
      </c>
      <c r="I101">
        <v>9</v>
      </c>
      <c r="J101">
        <v>5</v>
      </c>
      <c r="K101">
        <v>55.6</v>
      </c>
      <c r="L101" t="s">
        <v>26</v>
      </c>
      <c r="M101" t="s">
        <v>26</v>
      </c>
      <c r="N101" t="s">
        <v>26</v>
      </c>
      <c r="O101" t="s">
        <v>26</v>
      </c>
      <c r="P101" t="s">
        <v>27</v>
      </c>
      <c r="Q101" t="s">
        <v>28</v>
      </c>
      <c r="R101" s="7">
        <v>45887</v>
      </c>
      <c r="S101">
        <v>4.3</v>
      </c>
      <c r="T101">
        <v>9</v>
      </c>
      <c r="U101" t="s">
        <v>29</v>
      </c>
    </row>
    <row r="102" spans="1:21" x14ac:dyDescent="0.3">
      <c r="A102" t="s">
        <v>162</v>
      </c>
      <c r="B102" t="s">
        <v>67</v>
      </c>
      <c r="C102" t="s">
        <v>47</v>
      </c>
      <c r="D102">
        <v>3.3</v>
      </c>
      <c r="E102" t="s">
        <v>48</v>
      </c>
      <c r="F102" t="s">
        <v>25</v>
      </c>
      <c r="G102">
        <v>2050</v>
      </c>
      <c r="H102">
        <v>15</v>
      </c>
      <c r="I102">
        <v>60</v>
      </c>
      <c r="J102">
        <v>52</v>
      </c>
      <c r="K102">
        <v>86.7</v>
      </c>
      <c r="L102" t="s">
        <v>26</v>
      </c>
      <c r="M102" t="s">
        <v>26</v>
      </c>
      <c r="N102" t="s">
        <v>27</v>
      </c>
      <c r="O102" t="s">
        <v>26</v>
      </c>
      <c r="P102" t="s">
        <v>26</v>
      </c>
      <c r="Q102" t="s">
        <v>28</v>
      </c>
      <c r="R102" s="7">
        <v>46215</v>
      </c>
      <c r="S102">
        <v>4.5</v>
      </c>
      <c r="T102">
        <v>13</v>
      </c>
      <c r="U102" t="s">
        <v>29</v>
      </c>
    </row>
    <row r="103" spans="1:21" x14ac:dyDescent="0.3">
      <c r="A103" t="s">
        <v>163</v>
      </c>
      <c r="B103" t="s">
        <v>83</v>
      </c>
      <c r="C103" t="s">
        <v>44</v>
      </c>
      <c r="D103">
        <v>5</v>
      </c>
      <c r="E103" t="s">
        <v>54</v>
      </c>
      <c r="F103" t="s">
        <v>49</v>
      </c>
      <c r="G103">
        <v>9500</v>
      </c>
      <c r="H103">
        <v>31</v>
      </c>
      <c r="I103">
        <v>31</v>
      </c>
      <c r="J103">
        <v>12</v>
      </c>
      <c r="K103">
        <v>38.700000000000003</v>
      </c>
      <c r="L103" t="s">
        <v>26</v>
      </c>
      <c r="M103" t="s">
        <v>27</v>
      </c>
      <c r="N103" t="s">
        <v>26</v>
      </c>
      <c r="O103" t="s">
        <v>26</v>
      </c>
      <c r="P103" t="s">
        <v>27</v>
      </c>
      <c r="Q103" t="s">
        <v>28</v>
      </c>
      <c r="R103" s="7">
        <v>46205</v>
      </c>
      <c r="S103">
        <v>4</v>
      </c>
      <c r="T103">
        <v>11</v>
      </c>
      <c r="U103" t="s">
        <v>29</v>
      </c>
    </row>
    <row r="104" spans="1:21" x14ac:dyDescent="0.3">
      <c r="A104" t="s">
        <v>164</v>
      </c>
      <c r="B104" t="s">
        <v>56</v>
      </c>
      <c r="C104" t="s">
        <v>81</v>
      </c>
      <c r="D104">
        <v>6</v>
      </c>
      <c r="E104" t="s">
        <v>33</v>
      </c>
      <c r="F104" t="s">
        <v>34</v>
      </c>
      <c r="G104">
        <v>3250</v>
      </c>
      <c r="H104">
        <v>14</v>
      </c>
      <c r="I104">
        <v>42</v>
      </c>
      <c r="J104">
        <v>38</v>
      </c>
      <c r="K104">
        <v>90.5</v>
      </c>
      <c r="L104" t="s">
        <v>26</v>
      </c>
      <c r="M104" t="s">
        <v>26</v>
      </c>
      <c r="N104" t="s">
        <v>26</v>
      </c>
      <c r="O104" t="s">
        <v>26</v>
      </c>
      <c r="P104" t="s">
        <v>26</v>
      </c>
      <c r="Q104" t="s">
        <v>35</v>
      </c>
      <c r="R104" s="7">
        <v>46007</v>
      </c>
      <c r="S104">
        <v>4.5999999999999996</v>
      </c>
      <c r="T104">
        <v>14</v>
      </c>
      <c r="U104" t="s">
        <v>29</v>
      </c>
    </row>
    <row r="105" spans="1:21" x14ac:dyDescent="0.3">
      <c r="A105" t="s">
        <v>165</v>
      </c>
      <c r="B105" t="s">
        <v>75</v>
      </c>
      <c r="C105" t="s">
        <v>38</v>
      </c>
      <c r="D105">
        <v>5.4</v>
      </c>
      <c r="E105" t="s">
        <v>48</v>
      </c>
      <c r="F105" t="s">
        <v>49</v>
      </c>
      <c r="G105">
        <v>1800</v>
      </c>
      <c r="H105">
        <v>26</v>
      </c>
      <c r="I105">
        <v>104</v>
      </c>
      <c r="J105">
        <v>61</v>
      </c>
      <c r="K105">
        <v>58.7</v>
      </c>
      <c r="L105" t="s">
        <v>26</v>
      </c>
      <c r="M105" t="s">
        <v>27</v>
      </c>
      <c r="N105" t="s">
        <v>26</v>
      </c>
      <c r="O105" t="s">
        <v>26</v>
      </c>
      <c r="P105" t="s">
        <v>26</v>
      </c>
      <c r="Q105" t="s">
        <v>28</v>
      </c>
      <c r="R105" s="7">
        <v>45711</v>
      </c>
      <c r="S105">
        <v>3.9</v>
      </c>
      <c r="T105">
        <v>17</v>
      </c>
      <c r="U105" t="s">
        <v>29</v>
      </c>
    </row>
    <row r="106" spans="1:21" x14ac:dyDescent="0.3">
      <c r="A106" t="s">
        <v>166</v>
      </c>
      <c r="B106" t="s">
        <v>78</v>
      </c>
      <c r="C106" t="s">
        <v>23</v>
      </c>
      <c r="D106">
        <v>5.7</v>
      </c>
      <c r="E106" t="s">
        <v>24</v>
      </c>
      <c r="F106" t="s">
        <v>34</v>
      </c>
      <c r="G106">
        <v>5750</v>
      </c>
      <c r="H106">
        <v>30</v>
      </c>
      <c r="I106">
        <v>60</v>
      </c>
      <c r="J106">
        <v>24</v>
      </c>
      <c r="K106">
        <v>40</v>
      </c>
      <c r="L106" t="s">
        <v>27</v>
      </c>
      <c r="M106" t="s">
        <v>27</v>
      </c>
      <c r="N106" t="s">
        <v>26</v>
      </c>
      <c r="O106" t="s">
        <v>26</v>
      </c>
      <c r="P106" t="s">
        <v>26</v>
      </c>
      <c r="Q106" t="s">
        <v>28</v>
      </c>
      <c r="R106" s="7">
        <v>46006</v>
      </c>
      <c r="S106">
        <v>4.4000000000000004</v>
      </c>
      <c r="T106">
        <v>14</v>
      </c>
      <c r="U106" t="s">
        <v>29</v>
      </c>
    </row>
    <row r="107" spans="1:21" x14ac:dyDescent="0.3">
      <c r="A107" t="s">
        <v>167</v>
      </c>
      <c r="B107" t="s">
        <v>150</v>
      </c>
      <c r="C107" t="s">
        <v>64</v>
      </c>
      <c r="D107">
        <v>2.9</v>
      </c>
      <c r="E107" t="s">
        <v>33</v>
      </c>
      <c r="F107" t="s">
        <v>34</v>
      </c>
      <c r="G107">
        <v>5500</v>
      </c>
      <c r="H107">
        <v>13</v>
      </c>
      <c r="I107">
        <v>39</v>
      </c>
      <c r="J107">
        <v>36</v>
      </c>
      <c r="K107">
        <v>92.3</v>
      </c>
      <c r="L107" t="s">
        <v>26</v>
      </c>
      <c r="M107" t="s">
        <v>26</v>
      </c>
      <c r="N107" t="s">
        <v>27</v>
      </c>
      <c r="O107" t="s">
        <v>26</v>
      </c>
      <c r="P107" t="s">
        <v>27</v>
      </c>
      <c r="Q107" t="s">
        <v>28</v>
      </c>
      <c r="R107" s="7">
        <v>46101</v>
      </c>
      <c r="S107">
        <v>3.7</v>
      </c>
      <c r="T107">
        <v>10</v>
      </c>
      <c r="U107" t="s">
        <v>29</v>
      </c>
    </row>
    <row r="108" spans="1:21" x14ac:dyDescent="0.3">
      <c r="A108" t="s">
        <v>168</v>
      </c>
      <c r="B108" t="s">
        <v>43</v>
      </c>
      <c r="C108" t="s">
        <v>81</v>
      </c>
      <c r="D108">
        <v>5</v>
      </c>
      <c r="E108" t="s">
        <v>33</v>
      </c>
      <c r="F108" t="s">
        <v>34</v>
      </c>
      <c r="G108">
        <v>4250</v>
      </c>
      <c r="H108">
        <v>35</v>
      </c>
      <c r="I108">
        <v>105</v>
      </c>
      <c r="J108">
        <v>57</v>
      </c>
      <c r="K108">
        <v>54.3</v>
      </c>
      <c r="L108" t="s">
        <v>26</v>
      </c>
      <c r="M108" t="s">
        <v>27</v>
      </c>
      <c r="N108" t="s">
        <v>26</v>
      </c>
      <c r="O108" t="s">
        <v>26</v>
      </c>
      <c r="P108" t="s">
        <v>27</v>
      </c>
      <c r="Q108" t="s">
        <v>28</v>
      </c>
      <c r="R108" s="7">
        <v>46121</v>
      </c>
      <c r="S108">
        <v>3.4</v>
      </c>
      <c r="T108">
        <v>8</v>
      </c>
      <c r="U108" t="s">
        <v>29</v>
      </c>
    </row>
    <row r="109" spans="1:21" x14ac:dyDescent="0.3">
      <c r="A109" t="s">
        <v>169</v>
      </c>
      <c r="B109" t="s">
        <v>43</v>
      </c>
      <c r="C109" t="s">
        <v>32</v>
      </c>
      <c r="D109">
        <v>2.9</v>
      </c>
      <c r="E109" t="s">
        <v>24</v>
      </c>
      <c r="F109" t="s">
        <v>49</v>
      </c>
      <c r="G109">
        <v>3500</v>
      </c>
      <c r="H109">
        <v>17</v>
      </c>
      <c r="I109">
        <v>34</v>
      </c>
      <c r="J109">
        <v>30</v>
      </c>
      <c r="K109">
        <v>88.2</v>
      </c>
      <c r="L109" t="s">
        <v>26</v>
      </c>
      <c r="M109" t="s">
        <v>26</v>
      </c>
      <c r="N109" t="s">
        <v>26</v>
      </c>
      <c r="O109" t="s">
        <v>26</v>
      </c>
      <c r="P109" t="s">
        <v>26</v>
      </c>
      <c r="Q109" t="s">
        <v>35</v>
      </c>
      <c r="R109" s="7">
        <v>46115</v>
      </c>
      <c r="S109">
        <v>3.3</v>
      </c>
      <c r="T109">
        <v>11</v>
      </c>
      <c r="U109" t="s">
        <v>29</v>
      </c>
    </row>
    <row r="110" spans="1:21" x14ac:dyDescent="0.3">
      <c r="A110" t="s">
        <v>170</v>
      </c>
      <c r="B110" t="s">
        <v>62</v>
      </c>
      <c r="C110" t="s">
        <v>23</v>
      </c>
      <c r="D110">
        <v>4.5999999999999996</v>
      </c>
      <c r="E110" t="s">
        <v>48</v>
      </c>
      <c r="F110" t="s">
        <v>34</v>
      </c>
      <c r="G110">
        <v>3050</v>
      </c>
      <c r="H110">
        <v>31</v>
      </c>
      <c r="I110">
        <v>124</v>
      </c>
      <c r="J110">
        <v>99</v>
      </c>
      <c r="K110">
        <v>79.8</v>
      </c>
      <c r="L110" t="s">
        <v>26</v>
      </c>
      <c r="M110" t="s">
        <v>26</v>
      </c>
      <c r="N110" t="s">
        <v>26</v>
      </c>
      <c r="O110" t="s">
        <v>26</v>
      </c>
      <c r="P110" t="s">
        <v>26</v>
      </c>
      <c r="Q110" t="s">
        <v>35</v>
      </c>
      <c r="R110" s="7">
        <v>45745</v>
      </c>
      <c r="S110">
        <v>4.0999999999999996</v>
      </c>
      <c r="T110">
        <v>7</v>
      </c>
      <c r="U110" t="s">
        <v>29</v>
      </c>
    </row>
    <row r="111" spans="1:21" x14ac:dyDescent="0.3">
      <c r="A111" t="s">
        <v>171</v>
      </c>
      <c r="B111" t="s">
        <v>150</v>
      </c>
      <c r="C111" t="s">
        <v>32</v>
      </c>
      <c r="D111">
        <v>6.9</v>
      </c>
      <c r="E111" t="s">
        <v>54</v>
      </c>
      <c r="F111" t="s">
        <v>49</v>
      </c>
      <c r="G111">
        <v>7500</v>
      </c>
      <c r="H111">
        <v>24</v>
      </c>
      <c r="I111">
        <v>24</v>
      </c>
      <c r="J111">
        <v>22</v>
      </c>
      <c r="K111">
        <v>91.7</v>
      </c>
      <c r="L111" t="s">
        <v>26</v>
      </c>
      <c r="M111" t="s">
        <v>26</v>
      </c>
      <c r="N111" t="s">
        <v>26</v>
      </c>
      <c r="O111" t="s">
        <v>26</v>
      </c>
      <c r="P111" t="s">
        <v>27</v>
      </c>
      <c r="Q111" t="s">
        <v>28</v>
      </c>
      <c r="R111" s="7">
        <v>45886</v>
      </c>
      <c r="S111">
        <v>4</v>
      </c>
      <c r="T111">
        <v>2</v>
      </c>
      <c r="U111" t="s">
        <v>29</v>
      </c>
    </row>
    <row r="112" spans="1:21" x14ac:dyDescent="0.3">
      <c r="A112" t="s">
        <v>172</v>
      </c>
      <c r="B112" t="s">
        <v>70</v>
      </c>
      <c r="C112" t="s">
        <v>64</v>
      </c>
      <c r="D112">
        <v>7.5</v>
      </c>
      <c r="E112" t="s">
        <v>33</v>
      </c>
      <c r="F112" t="s">
        <v>34</v>
      </c>
      <c r="G112">
        <v>5000</v>
      </c>
      <c r="H112">
        <v>30</v>
      </c>
      <c r="I112">
        <v>90</v>
      </c>
      <c r="J112">
        <v>76</v>
      </c>
      <c r="K112">
        <v>84.4</v>
      </c>
      <c r="L112" t="s">
        <v>26</v>
      </c>
      <c r="M112" t="s">
        <v>26</v>
      </c>
      <c r="N112" t="s">
        <v>26</v>
      </c>
      <c r="O112" t="s">
        <v>26</v>
      </c>
      <c r="P112" t="s">
        <v>26</v>
      </c>
      <c r="Q112" t="s">
        <v>35</v>
      </c>
      <c r="R112" s="7">
        <v>45733</v>
      </c>
      <c r="S112">
        <v>4.3</v>
      </c>
      <c r="T112">
        <v>16</v>
      </c>
      <c r="U112" t="s">
        <v>29</v>
      </c>
    </row>
    <row r="113" spans="1:21" x14ac:dyDescent="0.3">
      <c r="A113" t="s">
        <v>173</v>
      </c>
      <c r="B113" t="s">
        <v>40</v>
      </c>
      <c r="C113" t="s">
        <v>64</v>
      </c>
      <c r="D113">
        <v>0.4</v>
      </c>
      <c r="E113" t="s">
        <v>33</v>
      </c>
      <c r="F113" t="s">
        <v>25</v>
      </c>
      <c r="G113">
        <v>4250</v>
      </c>
      <c r="H113">
        <v>43</v>
      </c>
      <c r="I113">
        <v>129</v>
      </c>
      <c r="J113">
        <v>61</v>
      </c>
      <c r="K113">
        <v>47.3</v>
      </c>
      <c r="L113" t="s">
        <v>27</v>
      </c>
      <c r="M113" t="s">
        <v>27</v>
      </c>
      <c r="N113" t="s">
        <v>26</v>
      </c>
      <c r="O113" t="s">
        <v>26</v>
      </c>
      <c r="P113" t="s">
        <v>26</v>
      </c>
      <c r="Q113" t="s">
        <v>28</v>
      </c>
      <c r="R113" s="7">
        <v>45755</v>
      </c>
      <c r="S113">
        <v>5</v>
      </c>
      <c r="T113">
        <v>13</v>
      </c>
      <c r="U113" t="s">
        <v>29</v>
      </c>
    </row>
    <row r="114" spans="1:21" x14ac:dyDescent="0.3">
      <c r="A114" t="s">
        <v>174</v>
      </c>
      <c r="B114" t="s">
        <v>43</v>
      </c>
      <c r="C114" t="s">
        <v>44</v>
      </c>
      <c r="D114">
        <v>7.3</v>
      </c>
      <c r="E114" t="s">
        <v>54</v>
      </c>
      <c r="F114" t="s">
        <v>34</v>
      </c>
      <c r="G114">
        <v>9000</v>
      </c>
      <c r="H114">
        <v>37</v>
      </c>
      <c r="I114">
        <v>37</v>
      </c>
      <c r="J114">
        <v>33</v>
      </c>
      <c r="K114">
        <v>89.2</v>
      </c>
      <c r="L114" t="s">
        <v>26</v>
      </c>
      <c r="M114" t="s">
        <v>26</v>
      </c>
      <c r="N114" t="s">
        <v>27</v>
      </c>
      <c r="O114" t="s">
        <v>26</v>
      </c>
      <c r="P114" t="s">
        <v>26</v>
      </c>
      <c r="Q114" t="s">
        <v>28</v>
      </c>
      <c r="R114" s="7">
        <v>46196</v>
      </c>
      <c r="S114">
        <v>2.9</v>
      </c>
      <c r="T114">
        <v>13</v>
      </c>
      <c r="U114" t="s">
        <v>29</v>
      </c>
    </row>
    <row r="115" spans="1:21" x14ac:dyDescent="0.3">
      <c r="A115" t="s">
        <v>175</v>
      </c>
      <c r="B115" t="s">
        <v>53</v>
      </c>
      <c r="C115" t="s">
        <v>44</v>
      </c>
      <c r="D115">
        <v>2.4</v>
      </c>
      <c r="E115" t="s">
        <v>24</v>
      </c>
      <c r="F115" t="s">
        <v>25</v>
      </c>
      <c r="G115">
        <v>6000</v>
      </c>
      <c r="H115">
        <v>22</v>
      </c>
      <c r="I115">
        <v>44</v>
      </c>
      <c r="J115">
        <v>26</v>
      </c>
      <c r="K115">
        <v>59.1</v>
      </c>
      <c r="L115" t="s">
        <v>26</v>
      </c>
      <c r="M115" t="s">
        <v>26</v>
      </c>
      <c r="N115" t="s">
        <v>26</v>
      </c>
      <c r="O115" t="s">
        <v>26</v>
      </c>
      <c r="P115" t="s">
        <v>26</v>
      </c>
      <c r="Q115" t="s">
        <v>35</v>
      </c>
      <c r="R115" s="7">
        <v>46198</v>
      </c>
      <c r="S115">
        <v>4</v>
      </c>
      <c r="T115">
        <v>4</v>
      </c>
      <c r="U115" t="s">
        <v>29</v>
      </c>
    </row>
    <row r="116" spans="1:21" x14ac:dyDescent="0.3">
      <c r="A116" t="s">
        <v>176</v>
      </c>
      <c r="B116" t="s">
        <v>58</v>
      </c>
      <c r="C116" t="s">
        <v>38</v>
      </c>
      <c r="D116">
        <v>3.9</v>
      </c>
      <c r="E116" t="s">
        <v>24</v>
      </c>
      <c r="F116" t="s">
        <v>25</v>
      </c>
      <c r="G116">
        <v>4500</v>
      </c>
      <c r="H116">
        <v>18</v>
      </c>
      <c r="I116">
        <v>36</v>
      </c>
      <c r="J116">
        <v>33</v>
      </c>
      <c r="K116">
        <v>91.7</v>
      </c>
      <c r="L116" t="s">
        <v>26</v>
      </c>
      <c r="M116" t="s">
        <v>26</v>
      </c>
      <c r="N116" t="s">
        <v>26</v>
      </c>
      <c r="O116" t="s">
        <v>26</v>
      </c>
      <c r="P116" t="s">
        <v>26</v>
      </c>
      <c r="Q116" t="s">
        <v>35</v>
      </c>
      <c r="R116" s="7">
        <v>46012</v>
      </c>
      <c r="S116">
        <v>4.0999999999999996</v>
      </c>
      <c r="T116">
        <v>6</v>
      </c>
      <c r="U116" t="s">
        <v>29</v>
      </c>
    </row>
    <row r="117" spans="1:21" x14ac:dyDescent="0.3">
      <c r="A117" t="s">
        <v>177</v>
      </c>
      <c r="B117" t="s">
        <v>56</v>
      </c>
      <c r="C117" t="s">
        <v>64</v>
      </c>
      <c r="D117">
        <v>6.7</v>
      </c>
      <c r="E117" t="s">
        <v>33</v>
      </c>
      <c r="F117" t="s">
        <v>49</v>
      </c>
      <c r="G117">
        <v>5000</v>
      </c>
      <c r="H117">
        <v>27</v>
      </c>
      <c r="I117">
        <v>81</v>
      </c>
      <c r="J117">
        <v>58</v>
      </c>
      <c r="K117">
        <v>71.599999999999994</v>
      </c>
      <c r="L117" t="s">
        <v>26</v>
      </c>
      <c r="M117" t="s">
        <v>26</v>
      </c>
      <c r="N117" t="s">
        <v>26</v>
      </c>
      <c r="O117" t="s">
        <v>27</v>
      </c>
      <c r="P117" t="s">
        <v>26</v>
      </c>
      <c r="Q117" t="s">
        <v>28</v>
      </c>
      <c r="R117" s="7">
        <v>45917</v>
      </c>
      <c r="S117">
        <v>3.4</v>
      </c>
      <c r="T117">
        <v>5</v>
      </c>
      <c r="U117" t="s">
        <v>29</v>
      </c>
    </row>
    <row r="118" spans="1:21" x14ac:dyDescent="0.3">
      <c r="A118" t="s">
        <v>178</v>
      </c>
      <c r="B118" t="s">
        <v>83</v>
      </c>
      <c r="C118" t="s">
        <v>64</v>
      </c>
      <c r="D118">
        <v>3.6</v>
      </c>
      <c r="E118" t="s">
        <v>33</v>
      </c>
      <c r="F118" t="s">
        <v>49</v>
      </c>
      <c r="G118">
        <v>4750</v>
      </c>
      <c r="H118">
        <v>17</v>
      </c>
      <c r="I118">
        <v>51</v>
      </c>
      <c r="J118">
        <v>37</v>
      </c>
      <c r="K118">
        <v>72.5</v>
      </c>
      <c r="L118" t="s">
        <v>26</v>
      </c>
      <c r="M118" t="s">
        <v>26</v>
      </c>
      <c r="N118" t="s">
        <v>26</v>
      </c>
      <c r="O118" t="s">
        <v>26</v>
      </c>
      <c r="P118" t="s">
        <v>27</v>
      </c>
      <c r="Q118" t="s">
        <v>28</v>
      </c>
      <c r="R118" s="7">
        <v>45993</v>
      </c>
      <c r="S118">
        <v>4</v>
      </c>
      <c r="T118">
        <v>10</v>
      </c>
      <c r="U118" t="s">
        <v>29</v>
      </c>
    </row>
    <row r="119" spans="1:21" x14ac:dyDescent="0.3">
      <c r="A119" t="s">
        <v>179</v>
      </c>
      <c r="B119" t="s">
        <v>40</v>
      </c>
      <c r="C119" t="s">
        <v>44</v>
      </c>
      <c r="D119">
        <v>0.9</v>
      </c>
      <c r="E119" t="s">
        <v>33</v>
      </c>
      <c r="F119" t="s">
        <v>49</v>
      </c>
      <c r="G119">
        <v>4000</v>
      </c>
      <c r="H119">
        <v>34</v>
      </c>
      <c r="I119">
        <v>102</v>
      </c>
      <c r="J119">
        <v>66</v>
      </c>
      <c r="K119">
        <v>64.7</v>
      </c>
      <c r="L119" t="s">
        <v>26</v>
      </c>
      <c r="M119" t="s">
        <v>27</v>
      </c>
      <c r="N119" t="s">
        <v>26</v>
      </c>
      <c r="O119" t="s">
        <v>26</v>
      </c>
      <c r="P119" t="s">
        <v>26</v>
      </c>
      <c r="Q119" t="s">
        <v>28</v>
      </c>
      <c r="R119" s="7">
        <v>45830</v>
      </c>
      <c r="S119">
        <v>4.3</v>
      </c>
      <c r="T119">
        <v>16</v>
      </c>
      <c r="U119" t="s">
        <v>29</v>
      </c>
    </row>
    <row r="120" spans="1:21" x14ac:dyDescent="0.3">
      <c r="A120" t="s">
        <v>180</v>
      </c>
      <c r="B120" t="s">
        <v>150</v>
      </c>
      <c r="C120" t="s">
        <v>41</v>
      </c>
      <c r="D120">
        <v>3.8</v>
      </c>
      <c r="E120" t="s">
        <v>54</v>
      </c>
      <c r="F120" t="s">
        <v>25</v>
      </c>
      <c r="G120">
        <v>8500</v>
      </c>
      <c r="H120">
        <v>40</v>
      </c>
      <c r="I120">
        <v>40</v>
      </c>
      <c r="J120">
        <v>28</v>
      </c>
      <c r="K120">
        <v>70</v>
      </c>
      <c r="L120" t="s">
        <v>26</v>
      </c>
      <c r="M120" t="s">
        <v>26</v>
      </c>
      <c r="N120" t="s">
        <v>26</v>
      </c>
      <c r="O120" t="s">
        <v>26</v>
      </c>
      <c r="P120" t="s">
        <v>26</v>
      </c>
      <c r="Q120" t="s">
        <v>35</v>
      </c>
      <c r="R120" s="7">
        <v>45913</v>
      </c>
      <c r="S120">
        <v>3.1</v>
      </c>
      <c r="T120">
        <v>15</v>
      </c>
      <c r="U120" t="s">
        <v>29</v>
      </c>
    </row>
    <row r="121" spans="1:21" x14ac:dyDescent="0.3">
      <c r="A121" t="s">
        <v>181</v>
      </c>
      <c r="B121" t="s">
        <v>150</v>
      </c>
      <c r="C121" t="s">
        <v>41</v>
      </c>
      <c r="D121">
        <v>4.0999999999999996</v>
      </c>
      <c r="E121" t="s">
        <v>54</v>
      </c>
      <c r="F121" t="s">
        <v>25</v>
      </c>
      <c r="G121">
        <v>8750</v>
      </c>
      <c r="H121">
        <v>16</v>
      </c>
      <c r="I121">
        <v>16</v>
      </c>
      <c r="J121">
        <v>9</v>
      </c>
      <c r="K121">
        <v>56.2</v>
      </c>
      <c r="L121" t="s">
        <v>27</v>
      </c>
      <c r="M121" t="s">
        <v>26</v>
      </c>
      <c r="N121" t="s">
        <v>26</v>
      </c>
      <c r="O121" t="s">
        <v>27</v>
      </c>
      <c r="P121" t="s">
        <v>26</v>
      </c>
      <c r="Q121" t="s">
        <v>28</v>
      </c>
      <c r="R121" s="7">
        <v>46041</v>
      </c>
      <c r="S121">
        <v>3.4</v>
      </c>
      <c r="T121">
        <v>18</v>
      </c>
      <c r="U121" t="s">
        <v>29</v>
      </c>
    </row>
    <row r="122" spans="1:21" x14ac:dyDescent="0.3">
      <c r="A122" t="s">
        <v>182</v>
      </c>
      <c r="B122" t="s">
        <v>31</v>
      </c>
      <c r="C122" t="s">
        <v>81</v>
      </c>
      <c r="D122">
        <v>4.2</v>
      </c>
      <c r="E122" t="s">
        <v>54</v>
      </c>
      <c r="F122" t="s">
        <v>34</v>
      </c>
      <c r="G122">
        <v>8500</v>
      </c>
      <c r="H122">
        <v>40</v>
      </c>
      <c r="I122">
        <v>40</v>
      </c>
      <c r="J122">
        <v>28</v>
      </c>
      <c r="K122">
        <v>70</v>
      </c>
      <c r="L122" t="s">
        <v>27</v>
      </c>
      <c r="M122" t="s">
        <v>26</v>
      </c>
      <c r="N122" t="s">
        <v>26</v>
      </c>
      <c r="O122" t="s">
        <v>26</v>
      </c>
      <c r="P122" t="s">
        <v>26</v>
      </c>
      <c r="Q122" t="s">
        <v>28</v>
      </c>
      <c r="R122" s="7">
        <v>45953</v>
      </c>
      <c r="S122">
        <v>3.5</v>
      </c>
      <c r="T122">
        <v>10</v>
      </c>
      <c r="U122" t="s">
        <v>29</v>
      </c>
    </row>
    <row r="123" spans="1:21" x14ac:dyDescent="0.3">
      <c r="A123" t="s">
        <v>183</v>
      </c>
      <c r="B123" t="s">
        <v>31</v>
      </c>
      <c r="C123" t="s">
        <v>32</v>
      </c>
      <c r="D123">
        <v>3.9</v>
      </c>
      <c r="E123" t="s">
        <v>54</v>
      </c>
      <c r="F123" t="s">
        <v>34</v>
      </c>
      <c r="G123">
        <v>5750</v>
      </c>
      <c r="H123">
        <v>16</v>
      </c>
      <c r="I123">
        <v>16</v>
      </c>
      <c r="J123">
        <v>16</v>
      </c>
      <c r="K123">
        <v>100</v>
      </c>
      <c r="L123" t="s">
        <v>26</v>
      </c>
      <c r="M123" t="s">
        <v>26</v>
      </c>
      <c r="N123" t="s">
        <v>26</v>
      </c>
      <c r="O123" t="s">
        <v>27</v>
      </c>
      <c r="P123" t="s">
        <v>27</v>
      </c>
      <c r="Q123" t="s">
        <v>28</v>
      </c>
      <c r="R123" s="7">
        <v>46008</v>
      </c>
      <c r="S123">
        <v>3.8</v>
      </c>
      <c r="T123">
        <v>10</v>
      </c>
      <c r="U123" t="s">
        <v>29</v>
      </c>
    </row>
    <row r="124" spans="1:21" x14ac:dyDescent="0.3">
      <c r="A124" t="s">
        <v>184</v>
      </c>
      <c r="B124" t="s">
        <v>37</v>
      </c>
      <c r="C124" t="s">
        <v>41</v>
      </c>
      <c r="D124">
        <v>4.5</v>
      </c>
      <c r="E124" t="s">
        <v>48</v>
      </c>
      <c r="F124" t="s">
        <v>25</v>
      </c>
      <c r="G124">
        <v>4550</v>
      </c>
      <c r="H124">
        <v>44</v>
      </c>
      <c r="I124">
        <v>176</v>
      </c>
      <c r="J124">
        <v>99</v>
      </c>
      <c r="K124">
        <v>56.2</v>
      </c>
      <c r="L124" t="s">
        <v>26</v>
      </c>
      <c r="M124" t="s">
        <v>27</v>
      </c>
      <c r="N124" t="s">
        <v>26</v>
      </c>
      <c r="O124" t="s">
        <v>26</v>
      </c>
      <c r="P124" t="s">
        <v>26</v>
      </c>
      <c r="Q124" t="s">
        <v>28</v>
      </c>
      <c r="R124" s="7">
        <v>46153</v>
      </c>
      <c r="S124">
        <v>3.6</v>
      </c>
      <c r="T124">
        <v>18</v>
      </c>
      <c r="U124" t="s">
        <v>29</v>
      </c>
    </row>
    <row r="125" spans="1:21" x14ac:dyDescent="0.3">
      <c r="A125" t="s">
        <v>185</v>
      </c>
      <c r="B125" t="s">
        <v>56</v>
      </c>
      <c r="C125" t="s">
        <v>64</v>
      </c>
      <c r="D125">
        <v>2.1</v>
      </c>
      <c r="E125" t="s">
        <v>24</v>
      </c>
      <c r="F125" t="s">
        <v>25</v>
      </c>
      <c r="G125">
        <v>3750</v>
      </c>
      <c r="H125">
        <v>45</v>
      </c>
      <c r="I125">
        <v>90</v>
      </c>
      <c r="J125">
        <v>61</v>
      </c>
      <c r="K125">
        <v>67.8</v>
      </c>
      <c r="L125" t="s">
        <v>26</v>
      </c>
      <c r="M125" t="s">
        <v>26</v>
      </c>
      <c r="N125" t="s">
        <v>27</v>
      </c>
      <c r="O125" t="s">
        <v>27</v>
      </c>
      <c r="P125" t="s">
        <v>26</v>
      </c>
      <c r="Q125" t="s">
        <v>28</v>
      </c>
      <c r="R125" s="7">
        <v>45841</v>
      </c>
      <c r="S125">
        <v>5</v>
      </c>
      <c r="T125">
        <v>18</v>
      </c>
      <c r="U125" t="s">
        <v>29</v>
      </c>
    </row>
    <row r="126" spans="1:21" x14ac:dyDescent="0.3">
      <c r="A126" t="s">
        <v>186</v>
      </c>
      <c r="B126" t="s">
        <v>22</v>
      </c>
      <c r="C126" t="s">
        <v>47</v>
      </c>
      <c r="D126">
        <v>0.3</v>
      </c>
      <c r="E126" t="s">
        <v>33</v>
      </c>
      <c r="F126" t="s">
        <v>25</v>
      </c>
      <c r="G126">
        <v>4000</v>
      </c>
      <c r="H126">
        <v>17</v>
      </c>
      <c r="I126">
        <v>51</v>
      </c>
      <c r="J126">
        <v>43</v>
      </c>
      <c r="K126">
        <v>84.3</v>
      </c>
      <c r="L126" t="s">
        <v>26</v>
      </c>
      <c r="M126" t="s">
        <v>26</v>
      </c>
      <c r="N126" t="s">
        <v>27</v>
      </c>
      <c r="O126" t="s">
        <v>27</v>
      </c>
      <c r="P126" t="s">
        <v>27</v>
      </c>
      <c r="Q126" t="s">
        <v>65</v>
      </c>
      <c r="R126" s="7">
        <v>45875</v>
      </c>
      <c r="S126">
        <v>4.0999999999999996</v>
      </c>
      <c r="T126">
        <v>16</v>
      </c>
      <c r="U126" t="s">
        <v>29</v>
      </c>
    </row>
    <row r="127" spans="1:21" x14ac:dyDescent="0.3">
      <c r="A127" t="s">
        <v>187</v>
      </c>
      <c r="B127" t="s">
        <v>150</v>
      </c>
      <c r="C127" t="s">
        <v>32</v>
      </c>
      <c r="D127">
        <v>2.5</v>
      </c>
      <c r="E127" t="s">
        <v>24</v>
      </c>
      <c r="F127" t="s">
        <v>49</v>
      </c>
      <c r="G127">
        <v>7000</v>
      </c>
      <c r="H127">
        <v>42</v>
      </c>
      <c r="I127">
        <v>84</v>
      </c>
      <c r="J127">
        <v>50</v>
      </c>
      <c r="K127">
        <v>59.5</v>
      </c>
      <c r="L127" t="s">
        <v>27</v>
      </c>
      <c r="M127" t="s">
        <v>26</v>
      </c>
      <c r="N127" t="s">
        <v>27</v>
      </c>
      <c r="O127" t="s">
        <v>26</v>
      </c>
      <c r="P127" t="s">
        <v>26</v>
      </c>
      <c r="Q127" t="s">
        <v>28</v>
      </c>
      <c r="R127" s="7">
        <v>46226</v>
      </c>
      <c r="S127">
        <v>4.5</v>
      </c>
      <c r="T127">
        <v>7</v>
      </c>
      <c r="U127" t="s">
        <v>29</v>
      </c>
    </row>
    <row r="128" spans="1:21" x14ac:dyDescent="0.3">
      <c r="A128" t="s">
        <v>188</v>
      </c>
      <c r="B128" t="s">
        <v>72</v>
      </c>
      <c r="C128" t="s">
        <v>41</v>
      </c>
      <c r="D128">
        <v>1.8</v>
      </c>
      <c r="E128" t="s">
        <v>33</v>
      </c>
      <c r="F128" t="s">
        <v>49</v>
      </c>
      <c r="G128">
        <v>5500</v>
      </c>
      <c r="H128">
        <v>26</v>
      </c>
      <c r="I128">
        <v>78</v>
      </c>
      <c r="J128">
        <v>72</v>
      </c>
      <c r="K128">
        <v>92.3</v>
      </c>
      <c r="L128" t="s">
        <v>26</v>
      </c>
      <c r="M128" t="s">
        <v>26</v>
      </c>
      <c r="N128" t="s">
        <v>26</v>
      </c>
      <c r="O128" t="s">
        <v>27</v>
      </c>
      <c r="P128" t="s">
        <v>26</v>
      </c>
      <c r="Q128" t="s">
        <v>28</v>
      </c>
      <c r="R128" s="7">
        <v>45879</v>
      </c>
      <c r="S128">
        <v>4.5999999999999996</v>
      </c>
      <c r="T128">
        <v>9</v>
      </c>
      <c r="U128" t="s">
        <v>29</v>
      </c>
    </row>
    <row r="129" spans="1:21" x14ac:dyDescent="0.3">
      <c r="A129" t="s">
        <v>189</v>
      </c>
      <c r="B129" t="s">
        <v>37</v>
      </c>
      <c r="C129" t="s">
        <v>81</v>
      </c>
      <c r="D129">
        <v>7.2</v>
      </c>
      <c r="E129" t="s">
        <v>24</v>
      </c>
      <c r="F129" t="s">
        <v>34</v>
      </c>
      <c r="G129">
        <v>5750</v>
      </c>
      <c r="H129">
        <v>10</v>
      </c>
      <c r="I129">
        <v>20</v>
      </c>
      <c r="J129">
        <v>11</v>
      </c>
      <c r="K129">
        <v>55</v>
      </c>
      <c r="L129" t="s">
        <v>26</v>
      </c>
      <c r="M129" t="s">
        <v>27</v>
      </c>
      <c r="N129" t="s">
        <v>27</v>
      </c>
      <c r="O129" t="s">
        <v>26</v>
      </c>
      <c r="P129" t="s">
        <v>27</v>
      </c>
      <c r="Q129" t="s">
        <v>65</v>
      </c>
      <c r="R129" s="7">
        <v>45747</v>
      </c>
      <c r="S129">
        <v>4.5999999999999996</v>
      </c>
      <c r="T129">
        <v>6</v>
      </c>
      <c r="U129" t="s">
        <v>29</v>
      </c>
    </row>
    <row r="130" spans="1:21" x14ac:dyDescent="0.3">
      <c r="A130" t="s">
        <v>190</v>
      </c>
      <c r="B130" t="s">
        <v>72</v>
      </c>
      <c r="C130" t="s">
        <v>41</v>
      </c>
      <c r="D130">
        <v>7</v>
      </c>
      <c r="E130" t="s">
        <v>33</v>
      </c>
      <c r="F130" t="s">
        <v>49</v>
      </c>
      <c r="G130">
        <v>3000</v>
      </c>
      <c r="H130">
        <v>14</v>
      </c>
      <c r="I130">
        <v>42</v>
      </c>
      <c r="J130">
        <v>33</v>
      </c>
      <c r="K130">
        <v>78.599999999999994</v>
      </c>
      <c r="L130" t="s">
        <v>26</v>
      </c>
      <c r="M130" t="s">
        <v>26</v>
      </c>
      <c r="N130" t="s">
        <v>27</v>
      </c>
      <c r="O130" t="s">
        <v>26</v>
      </c>
      <c r="P130" t="s">
        <v>26</v>
      </c>
      <c r="Q130" t="s">
        <v>28</v>
      </c>
      <c r="R130" s="7">
        <v>45912</v>
      </c>
      <c r="S130">
        <v>4.4000000000000004</v>
      </c>
      <c r="T130">
        <v>1</v>
      </c>
      <c r="U130" t="s">
        <v>29</v>
      </c>
    </row>
    <row r="131" spans="1:21" x14ac:dyDescent="0.3">
      <c r="A131" t="s">
        <v>191</v>
      </c>
      <c r="B131" t="s">
        <v>22</v>
      </c>
      <c r="C131" t="s">
        <v>44</v>
      </c>
      <c r="D131">
        <v>0.2</v>
      </c>
      <c r="E131" t="s">
        <v>24</v>
      </c>
      <c r="F131" t="s">
        <v>34</v>
      </c>
      <c r="G131">
        <v>6750</v>
      </c>
      <c r="H131">
        <v>38</v>
      </c>
      <c r="I131">
        <v>76</v>
      </c>
      <c r="J131">
        <v>56</v>
      </c>
      <c r="K131">
        <v>73.7</v>
      </c>
      <c r="L131" t="s">
        <v>26</v>
      </c>
      <c r="M131" t="s">
        <v>26</v>
      </c>
      <c r="N131" t="s">
        <v>26</v>
      </c>
      <c r="O131" t="s">
        <v>26</v>
      </c>
      <c r="P131" t="s">
        <v>26</v>
      </c>
      <c r="Q131" t="s">
        <v>35</v>
      </c>
      <c r="R131" s="7">
        <v>45871</v>
      </c>
      <c r="S131">
        <v>4.3</v>
      </c>
      <c r="T131">
        <v>18</v>
      </c>
      <c r="U131" t="s">
        <v>29</v>
      </c>
    </row>
    <row r="132" spans="1:21" x14ac:dyDescent="0.3">
      <c r="A132" t="s">
        <v>192</v>
      </c>
      <c r="B132" t="s">
        <v>72</v>
      </c>
      <c r="C132" t="s">
        <v>23</v>
      </c>
      <c r="D132">
        <v>6.9</v>
      </c>
      <c r="E132" t="s">
        <v>24</v>
      </c>
      <c r="F132" t="s">
        <v>49</v>
      </c>
      <c r="G132">
        <v>6750</v>
      </c>
      <c r="H132">
        <v>19</v>
      </c>
      <c r="I132">
        <v>38</v>
      </c>
      <c r="J132">
        <v>14</v>
      </c>
      <c r="K132">
        <v>36.799999999999997</v>
      </c>
      <c r="L132" t="s">
        <v>26</v>
      </c>
      <c r="M132" t="s">
        <v>26</v>
      </c>
      <c r="N132" t="s">
        <v>27</v>
      </c>
      <c r="O132" t="s">
        <v>27</v>
      </c>
      <c r="P132" t="s">
        <v>26</v>
      </c>
      <c r="Q132" t="s">
        <v>28</v>
      </c>
      <c r="R132" s="7">
        <v>46073</v>
      </c>
      <c r="S132">
        <v>3.8</v>
      </c>
      <c r="T132">
        <v>0</v>
      </c>
      <c r="U132" t="s">
        <v>29</v>
      </c>
    </row>
    <row r="133" spans="1:21" x14ac:dyDescent="0.3">
      <c r="A133" t="s">
        <v>193</v>
      </c>
      <c r="B133" t="s">
        <v>58</v>
      </c>
      <c r="C133" t="s">
        <v>64</v>
      </c>
      <c r="D133">
        <v>7.4</v>
      </c>
      <c r="E133" t="s">
        <v>48</v>
      </c>
      <c r="F133" t="s">
        <v>25</v>
      </c>
      <c r="G133">
        <v>2300</v>
      </c>
      <c r="H133">
        <v>40</v>
      </c>
      <c r="I133">
        <v>160</v>
      </c>
      <c r="J133">
        <v>115</v>
      </c>
      <c r="K133">
        <v>71.900000000000006</v>
      </c>
      <c r="L133" t="s">
        <v>26</v>
      </c>
      <c r="M133" t="s">
        <v>27</v>
      </c>
      <c r="N133" t="s">
        <v>26</v>
      </c>
      <c r="O133" t="s">
        <v>26</v>
      </c>
      <c r="P133" t="s">
        <v>26</v>
      </c>
      <c r="Q133" t="s">
        <v>28</v>
      </c>
      <c r="R133" s="7">
        <v>45946</v>
      </c>
      <c r="S133">
        <v>4.7</v>
      </c>
      <c r="T133">
        <v>8</v>
      </c>
      <c r="U133" t="s">
        <v>29</v>
      </c>
    </row>
    <row r="134" spans="1:21" x14ac:dyDescent="0.3">
      <c r="A134" t="s">
        <v>194</v>
      </c>
      <c r="B134" t="s">
        <v>70</v>
      </c>
      <c r="C134" t="s">
        <v>23</v>
      </c>
      <c r="D134">
        <v>5.6</v>
      </c>
      <c r="E134" t="s">
        <v>33</v>
      </c>
      <c r="F134" t="s">
        <v>34</v>
      </c>
      <c r="G134">
        <v>4750</v>
      </c>
      <c r="H134">
        <v>20</v>
      </c>
      <c r="I134">
        <v>60</v>
      </c>
      <c r="J134">
        <v>32</v>
      </c>
      <c r="K134">
        <v>53.3</v>
      </c>
      <c r="L134" t="s">
        <v>27</v>
      </c>
      <c r="M134" t="s">
        <v>26</v>
      </c>
      <c r="N134" t="s">
        <v>26</v>
      </c>
      <c r="O134" t="s">
        <v>27</v>
      </c>
      <c r="P134" t="s">
        <v>26</v>
      </c>
      <c r="Q134" t="s">
        <v>28</v>
      </c>
      <c r="R134" s="7">
        <v>46082</v>
      </c>
      <c r="S134">
        <v>4.5999999999999996</v>
      </c>
      <c r="T134">
        <v>5</v>
      </c>
      <c r="U134" t="s">
        <v>29</v>
      </c>
    </row>
    <row r="135" spans="1:21" x14ac:dyDescent="0.3">
      <c r="A135" t="s">
        <v>195</v>
      </c>
      <c r="B135" t="s">
        <v>56</v>
      </c>
      <c r="C135" t="s">
        <v>41</v>
      </c>
      <c r="D135">
        <v>3</v>
      </c>
      <c r="E135" t="s">
        <v>48</v>
      </c>
      <c r="F135" t="s">
        <v>49</v>
      </c>
      <c r="G135">
        <v>2800</v>
      </c>
      <c r="H135">
        <v>29</v>
      </c>
      <c r="I135">
        <v>116</v>
      </c>
      <c r="J135">
        <v>78</v>
      </c>
      <c r="K135">
        <v>67.2</v>
      </c>
      <c r="L135" t="s">
        <v>26</v>
      </c>
      <c r="M135" t="s">
        <v>26</v>
      </c>
      <c r="N135" t="s">
        <v>27</v>
      </c>
      <c r="O135" t="s">
        <v>26</v>
      </c>
      <c r="P135" t="s">
        <v>26</v>
      </c>
      <c r="Q135" t="s">
        <v>28</v>
      </c>
      <c r="R135" s="7">
        <v>45678</v>
      </c>
      <c r="S135">
        <v>3.9</v>
      </c>
      <c r="T135">
        <v>3</v>
      </c>
      <c r="U135" t="s">
        <v>29</v>
      </c>
    </row>
    <row r="136" spans="1:21" x14ac:dyDescent="0.3">
      <c r="A136" t="s">
        <v>196</v>
      </c>
      <c r="B136" t="s">
        <v>58</v>
      </c>
      <c r="C136" t="s">
        <v>44</v>
      </c>
      <c r="D136">
        <v>3.2</v>
      </c>
      <c r="E136" t="s">
        <v>33</v>
      </c>
      <c r="F136" t="s">
        <v>49</v>
      </c>
      <c r="G136">
        <v>5250</v>
      </c>
      <c r="H136">
        <v>15</v>
      </c>
      <c r="I136">
        <v>45</v>
      </c>
      <c r="J136">
        <v>35</v>
      </c>
      <c r="K136">
        <v>77.8</v>
      </c>
      <c r="L136" t="s">
        <v>26</v>
      </c>
      <c r="M136" t="s">
        <v>27</v>
      </c>
      <c r="N136" t="s">
        <v>26</v>
      </c>
      <c r="O136" t="s">
        <v>26</v>
      </c>
      <c r="P136" t="s">
        <v>26</v>
      </c>
      <c r="Q136" t="s">
        <v>28</v>
      </c>
      <c r="R136" s="7">
        <v>45969</v>
      </c>
      <c r="S136">
        <v>2.4</v>
      </c>
      <c r="T136">
        <v>4</v>
      </c>
      <c r="U136" t="s">
        <v>29</v>
      </c>
    </row>
    <row r="137" spans="1:21" x14ac:dyDescent="0.3">
      <c r="A137" t="s">
        <v>197</v>
      </c>
      <c r="B137" t="s">
        <v>83</v>
      </c>
      <c r="C137" t="s">
        <v>64</v>
      </c>
      <c r="D137">
        <v>5.7</v>
      </c>
      <c r="E137" t="s">
        <v>24</v>
      </c>
      <c r="F137" t="s">
        <v>25</v>
      </c>
      <c r="G137">
        <v>5250</v>
      </c>
      <c r="H137">
        <v>13</v>
      </c>
      <c r="I137">
        <v>26</v>
      </c>
      <c r="J137">
        <v>25</v>
      </c>
      <c r="K137">
        <v>96.2</v>
      </c>
      <c r="L137" t="s">
        <v>26</v>
      </c>
      <c r="M137" t="s">
        <v>26</v>
      </c>
      <c r="N137" t="s">
        <v>27</v>
      </c>
      <c r="O137" t="s">
        <v>26</v>
      </c>
      <c r="P137" t="s">
        <v>26</v>
      </c>
      <c r="Q137" t="s">
        <v>28</v>
      </c>
      <c r="R137" s="7">
        <v>46124</v>
      </c>
      <c r="S137">
        <v>4.5</v>
      </c>
      <c r="T137">
        <v>17</v>
      </c>
      <c r="U137" t="s">
        <v>29</v>
      </c>
    </row>
    <row r="138" spans="1:21" x14ac:dyDescent="0.3">
      <c r="A138" t="s">
        <v>198</v>
      </c>
      <c r="B138" t="s">
        <v>31</v>
      </c>
      <c r="C138" t="s">
        <v>44</v>
      </c>
      <c r="D138">
        <v>1.4</v>
      </c>
      <c r="E138" t="s">
        <v>48</v>
      </c>
      <c r="F138" t="s">
        <v>25</v>
      </c>
      <c r="G138">
        <v>2050</v>
      </c>
      <c r="H138">
        <v>21</v>
      </c>
      <c r="I138">
        <v>84</v>
      </c>
      <c r="J138">
        <v>74</v>
      </c>
      <c r="K138">
        <v>88.1</v>
      </c>
      <c r="L138" t="s">
        <v>27</v>
      </c>
      <c r="M138" t="s">
        <v>26</v>
      </c>
      <c r="N138" t="s">
        <v>26</v>
      </c>
      <c r="O138" t="s">
        <v>26</v>
      </c>
      <c r="P138" t="s">
        <v>27</v>
      </c>
      <c r="Q138" t="s">
        <v>28</v>
      </c>
      <c r="R138" s="7">
        <v>46167</v>
      </c>
      <c r="S138">
        <v>3.4</v>
      </c>
      <c r="T138">
        <v>16</v>
      </c>
      <c r="U138" t="s">
        <v>29</v>
      </c>
    </row>
    <row r="139" spans="1:21" x14ac:dyDescent="0.3">
      <c r="A139" t="s">
        <v>199</v>
      </c>
      <c r="B139" t="s">
        <v>85</v>
      </c>
      <c r="C139" t="s">
        <v>41</v>
      </c>
      <c r="D139">
        <v>5.5</v>
      </c>
      <c r="E139" t="s">
        <v>48</v>
      </c>
      <c r="F139" t="s">
        <v>49</v>
      </c>
      <c r="G139">
        <v>2800</v>
      </c>
      <c r="H139">
        <v>8</v>
      </c>
      <c r="I139">
        <v>32</v>
      </c>
      <c r="J139">
        <v>17</v>
      </c>
      <c r="K139">
        <v>53.1</v>
      </c>
      <c r="L139" t="s">
        <v>26</v>
      </c>
      <c r="M139" t="s">
        <v>26</v>
      </c>
      <c r="N139" t="s">
        <v>26</v>
      </c>
      <c r="O139" t="s">
        <v>26</v>
      </c>
      <c r="P139" t="s">
        <v>27</v>
      </c>
      <c r="Q139" t="s">
        <v>28</v>
      </c>
      <c r="R139" s="7">
        <v>45741</v>
      </c>
      <c r="S139">
        <v>4.4000000000000004</v>
      </c>
      <c r="T139">
        <v>2</v>
      </c>
      <c r="U139" t="s">
        <v>29</v>
      </c>
    </row>
    <row r="140" spans="1:21" x14ac:dyDescent="0.3">
      <c r="A140" t="s">
        <v>200</v>
      </c>
      <c r="B140" t="s">
        <v>67</v>
      </c>
      <c r="C140" t="s">
        <v>41</v>
      </c>
      <c r="D140">
        <v>3.2</v>
      </c>
      <c r="E140" t="s">
        <v>24</v>
      </c>
      <c r="F140" t="s">
        <v>25</v>
      </c>
      <c r="G140">
        <v>6750</v>
      </c>
      <c r="H140">
        <v>31</v>
      </c>
      <c r="I140">
        <v>62</v>
      </c>
      <c r="J140">
        <v>45</v>
      </c>
      <c r="K140">
        <v>72.599999999999994</v>
      </c>
      <c r="L140" t="s">
        <v>26</v>
      </c>
      <c r="M140" t="s">
        <v>26</v>
      </c>
      <c r="N140" t="s">
        <v>26</v>
      </c>
      <c r="O140" t="s">
        <v>27</v>
      </c>
      <c r="P140" t="s">
        <v>27</v>
      </c>
      <c r="Q140" t="s">
        <v>28</v>
      </c>
      <c r="R140" s="7">
        <v>46126</v>
      </c>
      <c r="S140">
        <v>4.3</v>
      </c>
      <c r="T140">
        <v>3</v>
      </c>
      <c r="U140" t="s">
        <v>29</v>
      </c>
    </row>
    <row r="141" spans="1:21" x14ac:dyDescent="0.3">
      <c r="A141" t="s">
        <v>201</v>
      </c>
      <c r="B141" t="s">
        <v>75</v>
      </c>
      <c r="C141" t="s">
        <v>47</v>
      </c>
      <c r="D141">
        <v>6.3</v>
      </c>
      <c r="E141" t="s">
        <v>54</v>
      </c>
      <c r="F141" t="s">
        <v>34</v>
      </c>
      <c r="G141">
        <v>7750</v>
      </c>
      <c r="H141">
        <v>37</v>
      </c>
      <c r="I141">
        <v>37</v>
      </c>
      <c r="J141">
        <v>33</v>
      </c>
      <c r="K141">
        <v>89.2</v>
      </c>
      <c r="L141" t="s">
        <v>26</v>
      </c>
      <c r="M141" t="s">
        <v>27</v>
      </c>
      <c r="N141" t="s">
        <v>26</v>
      </c>
      <c r="O141" t="s">
        <v>27</v>
      </c>
      <c r="P141" t="s">
        <v>27</v>
      </c>
      <c r="Q141" t="s">
        <v>65</v>
      </c>
      <c r="R141" s="7">
        <v>46224</v>
      </c>
      <c r="S141">
        <v>4.5999999999999996</v>
      </c>
      <c r="T141">
        <v>11</v>
      </c>
      <c r="U141" t="s">
        <v>29</v>
      </c>
    </row>
    <row r="142" spans="1:21" x14ac:dyDescent="0.3">
      <c r="A142" t="s">
        <v>202</v>
      </c>
      <c r="B142" t="s">
        <v>78</v>
      </c>
      <c r="C142" t="s">
        <v>47</v>
      </c>
      <c r="D142">
        <v>7</v>
      </c>
      <c r="E142" t="s">
        <v>54</v>
      </c>
      <c r="F142" t="s">
        <v>34</v>
      </c>
      <c r="G142">
        <v>5750</v>
      </c>
      <c r="H142">
        <v>34</v>
      </c>
      <c r="I142">
        <v>34</v>
      </c>
      <c r="J142">
        <v>30</v>
      </c>
      <c r="K142">
        <v>88.2</v>
      </c>
      <c r="L142" t="s">
        <v>26</v>
      </c>
      <c r="M142" t="s">
        <v>26</v>
      </c>
      <c r="N142" t="s">
        <v>26</v>
      </c>
      <c r="O142" t="s">
        <v>26</v>
      </c>
      <c r="P142" t="s">
        <v>26</v>
      </c>
      <c r="Q142" t="s">
        <v>35</v>
      </c>
      <c r="R142" s="7">
        <v>45683</v>
      </c>
      <c r="S142">
        <v>3.3</v>
      </c>
      <c r="T142">
        <v>14</v>
      </c>
      <c r="U142" t="s">
        <v>29</v>
      </c>
    </row>
    <row r="143" spans="1:21" x14ac:dyDescent="0.3">
      <c r="A143" t="s">
        <v>203</v>
      </c>
      <c r="B143" t="s">
        <v>40</v>
      </c>
      <c r="C143" t="s">
        <v>23</v>
      </c>
      <c r="D143">
        <v>3.1</v>
      </c>
      <c r="E143" t="s">
        <v>24</v>
      </c>
      <c r="F143" t="s">
        <v>49</v>
      </c>
      <c r="G143">
        <v>5000</v>
      </c>
      <c r="H143">
        <v>11</v>
      </c>
      <c r="I143">
        <v>22</v>
      </c>
      <c r="J143">
        <v>11</v>
      </c>
      <c r="K143">
        <v>50</v>
      </c>
      <c r="L143" t="s">
        <v>26</v>
      </c>
      <c r="M143" t="s">
        <v>26</v>
      </c>
      <c r="N143" t="s">
        <v>27</v>
      </c>
      <c r="O143" t="s">
        <v>26</v>
      </c>
      <c r="P143" t="s">
        <v>26</v>
      </c>
      <c r="Q143" t="s">
        <v>28</v>
      </c>
      <c r="R143" s="7">
        <v>46182</v>
      </c>
      <c r="S143">
        <v>3.5</v>
      </c>
      <c r="T143">
        <v>7</v>
      </c>
      <c r="U143" t="s">
        <v>29</v>
      </c>
    </row>
    <row r="144" spans="1:21" x14ac:dyDescent="0.3">
      <c r="A144" t="s">
        <v>204</v>
      </c>
      <c r="B144" t="s">
        <v>75</v>
      </c>
      <c r="C144" t="s">
        <v>47</v>
      </c>
      <c r="D144">
        <v>3.2</v>
      </c>
      <c r="E144" t="s">
        <v>33</v>
      </c>
      <c r="F144" t="s">
        <v>34</v>
      </c>
      <c r="G144">
        <v>2500</v>
      </c>
      <c r="H144">
        <v>43</v>
      </c>
      <c r="I144">
        <v>129</v>
      </c>
      <c r="J144">
        <v>120</v>
      </c>
      <c r="K144">
        <v>93</v>
      </c>
      <c r="L144" t="s">
        <v>26</v>
      </c>
      <c r="M144" t="s">
        <v>27</v>
      </c>
      <c r="N144" t="s">
        <v>26</v>
      </c>
      <c r="O144" t="s">
        <v>27</v>
      </c>
      <c r="P144" t="s">
        <v>27</v>
      </c>
      <c r="Q144" t="s">
        <v>65</v>
      </c>
      <c r="R144" s="7">
        <v>45846</v>
      </c>
      <c r="S144">
        <v>3.8</v>
      </c>
      <c r="T144">
        <v>16</v>
      </c>
      <c r="U144" t="s">
        <v>29</v>
      </c>
    </row>
    <row r="145" spans="1:21" x14ac:dyDescent="0.3">
      <c r="A145" t="s">
        <v>205</v>
      </c>
      <c r="B145" t="s">
        <v>58</v>
      </c>
      <c r="C145" t="s">
        <v>32</v>
      </c>
      <c r="D145">
        <v>1.5</v>
      </c>
      <c r="E145" t="s">
        <v>48</v>
      </c>
      <c r="F145" t="s">
        <v>25</v>
      </c>
      <c r="G145">
        <v>2550</v>
      </c>
      <c r="H145">
        <v>22</v>
      </c>
      <c r="I145">
        <v>88</v>
      </c>
      <c r="J145">
        <v>49</v>
      </c>
      <c r="K145">
        <v>55.7</v>
      </c>
      <c r="L145" t="s">
        <v>27</v>
      </c>
      <c r="M145" t="s">
        <v>27</v>
      </c>
      <c r="N145" t="s">
        <v>27</v>
      </c>
      <c r="O145" t="s">
        <v>27</v>
      </c>
      <c r="P145" t="s">
        <v>26</v>
      </c>
      <c r="Q145" t="s">
        <v>65</v>
      </c>
      <c r="R145" s="7">
        <v>45814</v>
      </c>
      <c r="S145">
        <v>4.5</v>
      </c>
      <c r="T145">
        <v>17</v>
      </c>
      <c r="U145" t="s">
        <v>29</v>
      </c>
    </row>
    <row r="146" spans="1:21" x14ac:dyDescent="0.3">
      <c r="A146" t="s">
        <v>206</v>
      </c>
      <c r="B146" t="s">
        <v>75</v>
      </c>
      <c r="C146" t="s">
        <v>32</v>
      </c>
      <c r="D146">
        <v>2</v>
      </c>
      <c r="E146" t="s">
        <v>24</v>
      </c>
      <c r="F146" t="s">
        <v>25</v>
      </c>
      <c r="G146">
        <v>6000</v>
      </c>
      <c r="H146">
        <v>13</v>
      </c>
      <c r="I146">
        <v>26</v>
      </c>
      <c r="J146">
        <v>23</v>
      </c>
      <c r="K146">
        <v>88.5</v>
      </c>
      <c r="L146" t="s">
        <v>26</v>
      </c>
      <c r="M146" t="s">
        <v>27</v>
      </c>
      <c r="N146" t="s">
        <v>26</v>
      </c>
      <c r="O146" t="s">
        <v>26</v>
      </c>
      <c r="P146" t="s">
        <v>26</v>
      </c>
      <c r="Q146" t="s">
        <v>28</v>
      </c>
      <c r="R146" s="7">
        <v>46046</v>
      </c>
      <c r="S146">
        <v>4.2</v>
      </c>
      <c r="T146">
        <v>1</v>
      </c>
      <c r="U146" t="s">
        <v>29</v>
      </c>
    </row>
    <row r="147" spans="1:21" x14ac:dyDescent="0.3">
      <c r="A147" t="s">
        <v>207</v>
      </c>
      <c r="B147" t="s">
        <v>72</v>
      </c>
      <c r="C147" t="s">
        <v>47</v>
      </c>
      <c r="D147">
        <v>3.7</v>
      </c>
      <c r="E147" t="s">
        <v>33</v>
      </c>
      <c r="F147" t="s">
        <v>25</v>
      </c>
      <c r="G147">
        <v>3500</v>
      </c>
      <c r="H147">
        <v>8</v>
      </c>
      <c r="I147">
        <v>24</v>
      </c>
      <c r="J147">
        <v>14</v>
      </c>
      <c r="K147">
        <v>58.3</v>
      </c>
      <c r="L147" t="s">
        <v>26</v>
      </c>
      <c r="M147" t="s">
        <v>27</v>
      </c>
      <c r="N147" t="s">
        <v>26</v>
      </c>
      <c r="O147" t="s">
        <v>26</v>
      </c>
      <c r="P147" t="s">
        <v>27</v>
      </c>
      <c r="Q147" t="s">
        <v>28</v>
      </c>
      <c r="R147" s="7">
        <v>45861</v>
      </c>
      <c r="S147">
        <v>3.7</v>
      </c>
      <c r="T147">
        <v>7</v>
      </c>
      <c r="U147" t="s">
        <v>29</v>
      </c>
    </row>
    <row r="148" spans="1:21" x14ac:dyDescent="0.3">
      <c r="A148" t="s">
        <v>208</v>
      </c>
      <c r="B148" t="s">
        <v>46</v>
      </c>
      <c r="C148" t="s">
        <v>41</v>
      </c>
      <c r="D148">
        <v>3</v>
      </c>
      <c r="E148" t="s">
        <v>33</v>
      </c>
      <c r="F148" t="s">
        <v>25</v>
      </c>
      <c r="G148">
        <v>3500</v>
      </c>
      <c r="H148">
        <v>24</v>
      </c>
      <c r="I148">
        <v>72</v>
      </c>
      <c r="J148">
        <v>48</v>
      </c>
      <c r="K148">
        <v>66.7</v>
      </c>
      <c r="L148" t="s">
        <v>27</v>
      </c>
      <c r="M148" t="s">
        <v>26</v>
      </c>
      <c r="N148" t="s">
        <v>26</v>
      </c>
      <c r="O148" t="s">
        <v>27</v>
      </c>
      <c r="P148" t="s">
        <v>27</v>
      </c>
      <c r="Q148" t="s">
        <v>65</v>
      </c>
      <c r="R148" s="7">
        <v>46192</v>
      </c>
      <c r="S148">
        <v>3.6</v>
      </c>
      <c r="T148">
        <v>6</v>
      </c>
      <c r="U148" t="s">
        <v>29</v>
      </c>
    </row>
    <row r="149" spans="1:21" x14ac:dyDescent="0.3">
      <c r="A149" t="s">
        <v>209</v>
      </c>
      <c r="B149" t="s">
        <v>40</v>
      </c>
      <c r="C149" t="s">
        <v>44</v>
      </c>
      <c r="D149">
        <v>0.3</v>
      </c>
      <c r="E149" t="s">
        <v>48</v>
      </c>
      <c r="F149" t="s">
        <v>25</v>
      </c>
      <c r="G149">
        <v>2800</v>
      </c>
      <c r="H149">
        <v>17</v>
      </c>
      <c r="I149">
        <v>68</v>
      </c>
      <c r="J149">
        <v>35</v>
      </c>
      <c r="K149">
        <v>51.5</v>
      </c>
      <c r="L149" t="s">
        <v>26</v>
      </c>
      <c r="M149" t="s">
        <v>27</v>
      </c>
      <c r="N149" t="s">
        <v>27</v>
      </c>
      <c r="O149" t="s">
        <v>26</v>
      </c>
      <c r="P149" t="s">
        <v>27</v>
      </c>
      <c r="Q149" t="s">
        <v>65</v>
      </c>
      <c r="R149" s="7">
        <v>46004</v>
      </c>
      <c r="S149">
        <v>4.4000000000000004</v>
      </c>
      <c r="T149">
        <v>17</v>
      </c>
      <c r="U149" t="s">
        <v>29</v>
      </c>
    </row>
    <row r="150" spans="1:21" x14ac:dyDescent="0.3">
      <c r="A150" t="s">
        <v>210</v>
      </c>
      <c r="B150" t="s">
        <v>46</v>
      </c>
      <c r="C150" t="s">
        <v>41</v>
      </c>
      <c r="D150">
        <v>5.8</v>
      </c>
      <c r="E150" t="s">
        <v>48</v>
      </c>
      <c r="F150" t="s">
        <v>25</v>
      </c>
      <c r="G150">
        <v>4550</v>
      </c>
      <c r="H150">
        <v>39</v>
      </c>
      <c r="I150">
        <v>156</v>
      </c>
      <c r="J150">
        <v>112</v>
      </c>
      <c r="K150">
        <v>71.8</v>
      </c>
      <c r="L150" t="s">
        <v>27</v>
      </c>
      <c r="M150" t="s">
        <v>26</v>
      </c>
      <c r="N150" t="s">
        <v>26</v>
      </c>
      <c r="O150" t="s">
        <v>26</v>
      </c>
      <c r="P150" t="s">
        <v>26</v>
      </c>
      <c r="Q150" t="s">
        <v>28</v>
      </c>
      <c r="R150" s="7">
        <v>45839</v>
      </c>
      <c r="S150">
        <v>5</v>
      </c>
      <c r="T150">
        <v>17</v>
      </c>
      <c r="U150" t="s">
        <v>29</v>
      </c>
    </row>
    <row r="151" spans="1:21" x14ac:dyDescent="0.3">
      <c r="A151" t="s">
        <v>211</v>
      </c>
      <c r="B151" t="s">
        <v>67</v>
      </c>
      <c r="C151" t="s">
        <v>38</v>
      </c>
      <c r="D151">
        <v>7.1</v>
      </c>
      <c r="E151" t="s">
        <v>54</v>
      </c>
      <c r="F151" t="s">
        <v>25</v>
      </c>
      <c r="G151">
        <v>11500</v>
      </c>
      <c r="H151">
        <v>8</v>
      </c>
      <c r="I151">
        <v>8</v>
      </c>
      <c r="J151">
        <v>5</v>
      </c>
      <c r="K151">
        <v>62.5</v>
      </c>
      <c r="L151" t="s">
        <v>26</v>
      </c>
      <c r="M151" t="s">
        <v>26</v>
      </c>
      <c r="N151" t="s">
        <v>27</v>
      </c>
      <c r="O151" t="s">
        <v>26</v>
      </c>
      <c r="P151" t="s">
        <v>26</v>
      </c>
      <c r="Q151" t="s">
        <v>28</v>
      </c>
      <c r="R151" s="7">
        <v>45807</v>
      </c>
      <c r="S151">
        <v>3.9</v>
      </c>
      <c r="T151">
        <v>6</v>
      </c>
      <c r="U151" t="s">
        <v>29</v>
      </c>
    </row>
    <row r="152" spans="1:21" x14ac:dyDescent="0.3">
      <c r="A152" t="s">
        <v>212</v>
      </c>
      <c r="B152" t="s">
        <v>85</v>
      </c>
      <c r="C152" t="s">
        <v>81</v>
      </c>
      <c r="D152">
        <v>0.6</v>
      </c>
      <c r="E152" t="s">
        <v>48</v>
      </c>
      <c r="F152" t="s">
        <v>49</v>
      </c>
      <c r="G152">
        <v>4300</v>
      </c>
      <c r="H152">
        <v>39</v>
      </c>
      <c r="I152">
        <v>156</v>
      </c>
      <c r="J152">
        <v>56</v>
      </c>
      <c r="K152">
        <v>35.9</v>
      </c>
      <c r="L152" t="s">
        <v>26</v>
      </c>
      <c r="M152" t="s">
        <v>26</v>
      </c>
      <c r="N152" t="s">
        <v>26</v>
      </c>
      <c r="O152" t="s">
        <v>27</v>
      </c>
      <c r="P152" t="s">
        <v>26</v>
      </c>
      <c r="Q152" t="s">
        <v>28</v>
      </c>
      <c r="R152" s="7">
        <v>45673</v>
      </c>
      <c r="S152">
        <v>3.1</v>
      </c>
      <c r="T152">
        <v>0</v>
      </c>
      <c r="U152" t="s">
        <v>29</v>
      </c>
    </row>
    <row r="153" spans="1:21" x14ac:dyDescent="0.3">
      <c r="A153" t="s">
        <v>213</v>
      </c>
      <c r="B153" t="s">
        <v>70</v>
      </c>
      <c r="C153" t="s">
        <v>38</v>
      </c>
      <c r="D153">
        <v>6.9</v>
      </c>
      <c r="E153" t="s">
        <v>24</v>
      </c>
      <c r="F153" t="s">
        <v>49</v>
      </c>
      <c r="G153">
        <v>5250</v>
      </c>
      <c r="H153">
        <v>20</v>
      </c>
      <c r="I153">
        <v>40</v>
      </c>
      <c r="J153">
        <v>33</v>
      </c>
      <c r="K153">
        <v>82.5</v>
      </c>
      <c r="L153" t="s">
        <v>27</v>
      </c>
      <c r="M153" t="s">
        <v>26</v>
      </c>
      <c r="N153" t="s">
        <v>26</v>
      </c>
      <c r="O153" t="s">
        <v>26</v>
      </c>
      <c r="P153" t="s">
        <v>26</v>
      </c>
      <c r="Q153" t="s">
        <v>28</v>
      </c>
      <c r="R153" s="7">
        <v>46206</v>
      </c>
      <c r="S153">
        <v>4</v>
      </c>
      <c r="T153">
        <v>11</v>
      </c>
      <c r="U153" t="s">
        <v>29</v>
      </c>
    </row>
    <row r="154" spans="1:21" x14ac:dyDescent="0.3">
      <c r="A154" t="s">
        <v>214</v>
      </c>
      <c r="B154" t="s">
        <v>85</v>
      </c>
      <c r="C154" t="s">
        <v>47</v>
      </c>
      <c r="D154">
        <v>7.4</v>
      </c>
      <c r="E154" t="s">
        <v>24</v>
      </c>
      <c r="F154" t="s">
        <v>49</v>
      </c>
      <c r="G154">
        <v>5750</v>
      </c>
      <c r="H154">
        <v>13</v>
      </c>
      <c r="I154">
        <v>26</v>
      </c>
      <c r="J154">
        <v>10</v>
      </c>
      <c r="K154">
        <v>38.5</v>
      </c>
      <c r="L154" t="s">
        <v>27</v>
      </c>
      <c r="M154" t="s">
        <v>26</v>
      </c>
      <c r="N154" t="s">
        <v>26</v>
      </c>
      <c r="O154" t="s">
        <v>27</v>
      </c>
      <c r="P154" t="s">
        <v>27</v>
      </c>
      <c r="Q154" t="s">
        <v>65</v>
      </c>
      <c r="R154" s="7">
        <v>45762</v>
      </c>
      <c r="S154">
        <v>3.9</v>
      </c>
      <c r="T154">
        <v>0</v>
      </c>
      <c r="U154" t="s">
        <v>29</v>
      </c>
    </row>
    <row r="155" spans="1:21" x14ac:dyDescent="0.3">
      <c r="A155" t="s">
        <v>215</v>
      </c>
      <c r="B155" t="s">
        <v>46</v>
      </c>
      <c r="C155" t="s">
        <v>38</v>
      </c>
      <c r="D155">
        <v>6.7</v>
      </c>
      <c r="E155" t="s">
        <v>54</v>
      </c>
      <c r="F155" t="s">
        <v>49</v>
      </c>
      <c r="G155">
        <v>7250</v>
      </c>
      <c r="H155">
        <v>21</v>
      </c>
      <c r="I155">
        <v>21</v>
      </c>
      <c r="J155">
        <v>21</v>
      </c>
      <c r="K155">
        <v>100</v>
      </c>
      <c r="L155" t="s">
        <v>26</v>
      </c>
      <c r="M155" t="s">
        <v>26</v>
      </c>
      <c r="N155" t="s">
        <v>26</v>
      </c>
      <c r="O155" t="s">
        <v>26</v>
      </c>
      <c r="P155" t="s">
        <v>26</v>
      </c>
      <c r="Q155" t="s">
        <v>35</v>
      </c>
      <c r="R155" s="7">
        <v>46153</v>
      </c>
      <c r="S155">
        <v>3.8</v>
      </c>
      <c r="T155">
        <v>5</v>
      </c>
      <c r="U155" t="s">
        <v>29</v>
      </c>
    </row>
    <row r="156" spans="1:21" x14ac:dyDescent="0.3">
      <c r="A156" t="s">
        <v>216</v>
      </c>
      <c r="B156" t="s">
        <v>56</v>
      </c>
      <c r="C156" t="s">
        <v>47</v>
      </c>
      <c r="D156">
        <v>4.5</v>
      </c>
      <c r="E156" t="s">
        <v>48</v>
      </c>
      <c r="F156" t="s">
        <v>34</v>
      </c>
      <c r="G156">
        <v>2050</v>
      </c>
      <c r="H156">
        <v>27</v>
      </c>
      <c r="I156">
        <v>108</v>
      </c>
      <c r="J156">
        <v>57</v>
      </c>
      <c r="K156">
        <v>52.8</v>
      </c>
      <c r="L156" t="s">
        <v>26</v>
      </c>
      <c r="M156" t="s">
        <v>26</v>
      </c>
      <c r="N156" t="s">
        <v>26</v>
      </c>
      <c r="O156" t="s">
        <v>27</v>
      </c>
      <c r="P156" t="s">
        <v>26</v>
      </c>
      <c r="Q156" t="s">
        <v>28</v>
      </c>
      <c r="R156" s="7">
        <v>45913</v>
      </c>
      <c r="S156">
        <v>4</v>
      </c>
      <c r="T156">
        <v>16</v>
      </c>
      <c r="U156" t="s">
        <v>29</v>
      </c>
    </row>
    <row r="157" spans="1:21" x14ac:dyDescent="0.3">
      <c r="A157" t="s">
        <v>217</v>
      </c>
      <c r="B157" t="s">
        <v>83</v>
      </c>
      <c r="C157" t="s">
        <v>47</v>
      </c>
      <c r="D157">
        <v>6.3</v>
      </c>
      <c r="E157" t="s">
        <v>33</v>
      </c>
      <c r="F157" t="s">
        <v>49</v>
      </c>
      <c r="G157">
        <v>4750</v>
      </c>
      <c r="H157">
        <v>33</v>
      </c>
      <c r="I157">
        <v>99</v>
      </c>
      <c r="J157">
        <v>75</v>
      </c>
      <c r="K157">
        <v>75.8</v>
      </c>
      <c r="L157" t="s">
        <v>26</v>
      </c>
      <c r="M157" t="s">
        <v>26</v>
      </c>
      <c r="N157" t="s">
        <v>26</v>
      </c>
      <c r="O157" t="s">
        <v>26</v>
      </c>
      <c r="P157" t="s">
        <v>27</v>
      </c>
      <c r="Q157" t="s">
        <v>28</v>
      </c>
      <c r="R157" s="7">
        <v>45697</v>
      </c>
      <c r="S157">
        <v>3.5</v>
      </c>
      <c r="T157">
        <v>17</v>
      </c>
      <c r="U157" t="s">
        <v>29</v>
      </c>
    </row>
    <row r="158" spans="1:21" x14ac:dyDescent="0.3">
      <c r="A158" t="s">
        <v>218</v>
      </c>
      <c r="B158" t="s">
        <v>83</v>
      </c>
      <c r="C158" t="s">
        <v>44</v>
      </c>
      <c r="D158">
        <v>5.2</v>
      </c>
      <c r="E158" t="s">
        <v>48</v>
      </c>
      <c r="F158" t="s">
        <v>34</v>
      </c>
      <c r="G158">
        <v>2050</v>
      </c>
      <c r="H158">
        <v>26</v>
      </c>
      <c r="I158">
        <v>104</v>
      </c>
      <c r="J158">
        <v>67</v>
      </c>
      <c r="K158">
        <v>64.400000000000006</v>
      </c>
      <c r="L158" t="s">
        <v>27</v>
      </c>
      <c r="M158" t="s">
        <v>26</v>
      </c>
      <c r="N158" t="s">
        <v>26</v>
      </c>
      <c r="O158" t="s">
        <v>26</v>
      </c>
      <c r="P158" t="s">
        <v>26</v>
      </c>
      <c r="Q158" t="s">
        <v>28</v>
      </c>
      <c r="R158" s="7">
        <v>45742</v>
      </c>
      <c r="S158">
        <v>3.9</v>
      </c>
      <c r="T158">
        <v>12</v>
      </c>
      <c r="U158" t="s">
        <v>29</v>
      </c>
    </row>
    <row r="159" spans="1:21" x14ac:dyDescent="0.3">
      <c r="A159" t="s">
        <v>219</v>
      </c>
      <c r="B159" t="s">
        <v>58</v>
      </c>
      <c r="C159" t="s">
        <v>64</v>
      </c>
      <c r="D159">
        <v>2.8</v>
      </c>
      <c r="E159" t="s">
        <v>33</v>
      </c>
      <c r="F159" t="s">
        <v>34</v>
      </c>
      <c r="G159">
        <v>2750</v>
      </c>
      <c r="H159">
        <v>16</v>
      </c>
      <c r="I159">
        <v>48</v>
      </c>
      <c r="J159">
        <v>21</v>
      </c>
      <c r="K159">
        <v>43.8</v>
      </c>
      <c r="L159" t="s">
        <v>27</v>
      </c>
      <c r="M159" t="s">
        <v>26</v>
      </c>
      <c r="N159" t="s">
        <v>27</v>
      </c>
      <c r="O159" t="s">
        <v>27</v>
      </c>
      <c r="P159" t="s">
        <v>27</v>
      </c>
      <c r="Q159" t="s">
        <v>65</v>
      </c>
      <c r="R159" s="7">
        <v>45858</v>
      </c>
      <c r="S159">
        <v>4.2</v>
      </c>
      <c r="T159">
        <v>0</v>
      </c>
      <c r="U159" t="s">
        <v>29</v>
      </c>
    </row>
    <row r="160" spans="1:21" x14ac:dyDescent="0.3">
      <c r="A160" t="s">
        <v>220</v>
      </c>
      <c r="B160" t="s">
        <v>51</v>
      </c>
      <c r="C160" t="s">
        <v>38</v>
      </c>
      <c r="D160">
        <v>4.5999999999999996</v>
      </c>
      <c r="E160" t="s">
        <v>33</v>
      </c>
      <c r="F160" t="s">
        <v>49</v>
      </c>
      <c r="G160">
        <v>4000</v>
      </c>
      <c r="H160">
        <v>8</v>
      </c>
      <c r="I160">
        <v>24</v>
      </c>
      <c r="J160">
        <v>17</v>
      </c>
      <c r="K160">
        <v>70.8</v>
      </c>
      <c r="L160" t="s">
        <v>26</v>
      </c>
      <c r="M160" t="s">
        <v>26</v>
      </c>
      <c r="N160" t="s">
        <v>27</v>
      </c>
      <c r="O160" t="s">
        <v>27</v>
      </c>
      <c r="P160" t="s">
        <v>26</v>
      </c>
      <c r="Q160" t="s">
        <v>28</v>
      </c>
      <c r="R160" s="7">
        <v>46090</v>
      </c>
      <c r="S160">
        <v>4.2</v>
      </c>
      <c r="T160">
        <v>12</v>
      </c>
      <c r="U160" t="s">
        <v>29</v>
      </c>
    </row>
    <row r="161" spans="1:21" x14ac:dyDescent="0.3">
      <c r="A161" t="s">
        <v>221</v>
      </c>
      <c r="B161" t="s">
        <v>150</v>
      </c>
      <c r="C161" t="s">
        <v>44</v>
      </c>
      <c r="D161">
        <v>0.7</v>
      </c>
      <c r="E161" t="s">
        <v>48</v>
      </c>
      <c r="F161" t="s">
        <v>49</v>
      </c>
      <c r="G161">
        <v>2800</v>
      </c>
      <c r="H161">
        <v>34</v>
      </c>
      <c r="I161">
        <v>136</v>
      </c>
      <c r="J161">
        <v>85</v>
      </c>
      <c r="K161">
        <v>62.5</v>
      </c>
      <c r="L161" t="s">
        <v>26</v>
      </c>
      <c r="M161" t="s">
        <v>27</v>
      </c>
      <c r="N161" t="s">
        <v>26</v>
      </c>
      <c r="O161" t="s">
        <v>26</v>
      </c>
      <c r="P161" t="s">
        <v>26</v>
      </c>
      <c r="Q161" t="s">
        <v>28</v>
      </c>
      <c r="R161" s="7">
        <v>46162</v>
      </c>
      <c r="S161">
        <v>4.4000000000000004</v>
      </c>
      <c r="T161">
        <v>6</v>
      </c>
      <c r="U161" t="s">
        <v>29</v>
      </c>
    </row>
    <row r="162" spans="1:21" x14ac:dyDescent="0.3">
      <c r="A162" t="s">
        <v>222</v>
      </c>
      <c r="B162" t="s">
        <v>22</v>
      </c>
      <c r="C162" t="s">
        <v>44</v>
      </c>
      <c r="D162">
        <v>2.4</v>
      </c>
      <c r="E162" t="s">
        <v>48</v>
      </c>
      <c r="F162" t="s">
        <v>49</v>
      </c>
      <c r="G162">
        <v>3050</v>
      </c>
      <c r="H162">
        <v>32</v>
      </c>
      <c r="I162">
        <v>128</v>
      </c>
      <c r="J162">
        <v>86</v>
      </c>
      <c r="K162">
        <v>67.2</v>
      </c>
      <c r="L162" t="s">
        <v>26</v>
      </c>
      <c r="M162" t="s">
        <v>26</v>
      </c>
      <c r="N162" t="s">
        <v>27</v>
      </c>
      <c r="O162" t="s">
        <v>26</v>
      </c>
      <c r="P162" t="s">
        <v>27</v>
      </c>
      <c r="Q162" t="s">
        <v>28</v>
      </c>
      <c r="R162" s="7">
        <v>46117</v>
      </c>
      <c r="S162">
        <v>3.3</v>
      </c>
      <c r="T162">
        <v>10</v>
      </c>
      <c r="U162" t="s">
        <v>29</v>
      </c>
    </row>
    <row r="163" spans="1:21" x14ac:dyDescent="0.3">
      <c r="A163" t="s">
        <v>223</v>
      </c>
      <c r="B163" t="s">
        <v>46</v>
      </c>
      <c r="C163" t="s">
        <v>44</v>
      </c>
      <c r="D163">
        <v>7.2</v>
      </c>
      <c r="E163" t="s">
        <v>33</v>
      </c>
      <c r="F163" t="s">
        <v>25</v>
      </c>
      <c r="G163">
        <v>3500</v>
      </c>
      <c r="H163">
        <v>39</v>
      </c>
      <c r="I163">
        <v>117</v>
      </c>
      <c r="J163">
        <v>113</v>
      </c>
      <c r="K163">
        <v>96.6</v>
      </c>
      <c r="L163" t="s">
        <v>27</v>
      </c>
      <c r="M163" t="s">
        <v>26</v>
      </c>
      <c r="N163" t="s">
        <v>26</v>
      </c>
      <c r="O163" t="s">
        <v>26</v>
      </c>
      <c r="P163" t="s">
        <v>27</v>
      </c>
      <c r="Q163" t="s">
        <v>28</v>
      </c>
      <c r="R163" s="7">
        <v>45915</v>
      </c>
      <c r="S163">
        <v>3.5</v>
      </c>
      <c r="T163">
        <v>3</v>
      </c>
      <c r="U163" t="s">
        <v>29</v>
      </c>
    </row>
    <row r="164" spans="1:21" x14ac:dyDescent="0.3">
      <c r="A164" t="s">
        <v>224</v>
      </c>
      <c r="B164" t="s">
        <v>31</v>
      </c>
      <c r="C164" t="s">
        <v>44</v>
      </c>
      <c r="D164">
        <v>5.2</v>
      </c>
      <c r="E164" t="s">
        <v>54</v>
      </c>
      <c r="F164" t="s">
        <v>49</v>
      </c>
      <c r="G164">
        <v>11250</v>
      </c>
      <c r="H164">
        <v>37</v>
      </c>
      <c r="I164">
        <v>37</v>
      </c>
      <c r="J164">
        <v>34</v>
      </c>
      <c r="K164">
        <v>91.9</v>
      </c>
      <c r="L164" t="s">
        <v>26</v>
      </c>
      <c r="M164" t="s">
        <v>27</v>
      </c>
      <c r="N164" t="s">
        <v>27</v>
      </c>
      <c r="O164" t="s">
        <v>27</v>
      </c>
      <c r="P164" t="s">
        <v>26</v>
      </c>
      <c r="Q164" t="s">
        <v>65</v>
      </c>
      <c r="R164" s="7">
        <v>45881</v>
      </c>
      <c r="S164">
        <v>4.3</v>
      </c>
      <c r="T164">
        <v>15</v>
      </c>
      <c r="U164" t="s">
        <v>29</v>
      </c>
    </row>
    <row r="165" spans="1:21" x14ac:dyDescent="0.3">
      <c r="A165" t="s">
        <v>225</v>
      </c>
      <c r="B165" t="s">
        <v>75</v>
      </c>
      <c r="C165" t="s">
        <v>32</v>
      </c>
      <c r="D165">
        <v>6</v>
      </c>
      <c r="E165" t="s">
        <v>54</v>
      </c>
      <c r="F165" t="s">
        <v>25</v>
      </c>
      <c r="G165">
        <v>9000</v>
      </c>
      <c r="H165">
        <v>38</v>
      </c>
      <c r="I165">
        <v>38</v>
      </c>
      <c r="J165">
        <v>31</v>
      </c>
      <c r="K165">
        <v>81.599999999999994</v>
      </c>
      <c r="L165" t="s">
        <v>26</v>
      </c>
      <c r="M165" t="s">
        <v>26</v>
      </c>
      <c r="N165" t="s">
        <v>26</v>
      </c>
      <c r="O165" t="s">
        <v>27</v>
      </c>
      <c r="P165" t="s">
        <v>26</v>
      </c>
      <c r="Q165" t="s">
        <v>28</v>
      </c>
      <c r="R165" s="7">
        <v>46077</v>
      </c>
      <c r="S165">
        <v>4.4000000000000004</v>
      </c>
      <c r="T165">
        <v>7</v>
      </c>
      <c r="U165" t="s">
        <v>29</v>
      </c>
    </row>
    <row r="166" spans="1:21" x14ac:dyDescent="0.3">
      <c r="A166" t="s">
        <v>226</v>
      </c>
      <c r="B166" t="s">
        <v>51</v>
      </c>
      <c r="C166" t="s">
        <v>44</v>
      </c>
      <c r="D166">
        <v>4.9000000000000004</v>
      </c>
      <c r="E166" t="s">
        <v>54</v>
      </c>
      <c r="F166" t="s">
        <v>25</v>
      </c>
      <c r="G166">
        <v>10000</v>
      </c>
      <c r="H166">
        <v>33</v>
      </c>
      <c r="I166">
        <v>33</v>
      </c>
      <c r="J166">
        <v>21</v>
      </c>
      <c r="K166">
        <v>63.6</v>
      </c>
      <c r="L166" t="s">
        <v>26</v>
      </c>
      <c r="M166" t="s">
        <v>26</v>
      </c>
      <c r="N166" t="s">
        <v>26</v>
      </c>
      <c r="O166" t="s">
        <v>26</v>
      </c>
      <c r="P166" t="s">
        <v>26</v>
      </c>
      <c r="Q166" t="s">
        <v>35</v>
      </c>
      <c r="R166" s="7">
        <v>46107</v>
      </c>
      <c r="S166">
        <v>4</v>
      </c>
      <c r="T166">
        <v>16</v>
      </c>
      <c r="U166" t="s">
        <v>29</v>
      </c>
    </row>
    <row r="167" spans="1:21" x14ac:dyDescent="0.3">
      <c r="A167" t="s">
        <v>227</v>
      </c>
      <c r="B167" t="s">
        <v>62</v>
      </c>
      <c r="C167" t="s">
        <v>47</v>
      </c>
      <c r="D167">
        <v>3.5</v>
      </c>
      <c r="E167" t="s">
        <v>48</v>
      </c>
      <c r="F167" t="s">
        <v>49</v>
      </c>
      <c r="G167">
        <v>3550</v>
      </c>
      <c r="H167">
        <v>45</v>
      </c>
      <c r="I167">
        <v>180</v>
      </c>
      <c r="J167">
        <v>150</v>
      </c>
      <c r="K167">
        <v>83.3</v>
      </c>
      <c r="L167" t="s">
        <v>27</v>
      </c>
      <c r="M167" t="s">
        <v>26</v>
      </c>
      <c r="N167" t="s">
        <v>26</v>
      </c>
      <c r="O167" t="s">
        <v>26</v>
      </c>
      <c r="P167" t="s">
        <v>26</v>
      </c>
      <c r="Q167" t="s">
        <v>28</v>
      </c>
      <c r="R167" s="7">
        <v>46179</v>
      </c>
      <c r="S167">
        <v>3.3</v>
      </c>
      <c r="T167">
        <v>9</v>
      </c>
      <c r="U167" t="s">
        <v>29</v>
      </c>
    </row>
    <row r="168" spans="1:21" x14ac:dyDescent="0.3">
      <c r="A168" t="s">
        <v>228</v>
      </c>
      <c r="B168" t="s">
        <v>43</v>
      </c>
      <c r="C168" t="s">
        <v>38</v>
      </c>
      <c r="D168">
        <v>6.3</v>
      </c>
      <c r="E168" t="s">
        <v>24</v>
      </c>
      <c r="F168" t="s">
        <v>34</v>
      </c>
      <c r="G168">
        <v>6250</v>
      </c>
      <c r="H168">
        <v>27</v>
      </c>
      <c r="I168">
        <v>54</v>
      </c>
      <c r="J168">
        <v>39</v>
      </c>
      <c r="K168">
        <v>72.2</v>
      </c>
      <c r="L168" t="s">
        <v>27</v>
      </c>
      <c r="M168" t="s">
        <v>26</v>
      </c>
      <c r="N168" t="s">
        <v>26</v>
      </c>
      <c r="O168" t="s">
        <v>26</v>
      </c>
      <c r="P168" t="s">
        <v>27</v>
      </c>
      <c r="Q168" t="s">
        <v>28</v>
      </c>
      <c r="R168" s="7">
        <v>46133</v>
      </c>
      <c r="S168">
        <v>3.9</v>
      </c>
      <c r="T168">
        <v>14</v>
      </c>
      <c r="U168" t="s">
        <v>29</v>
      </c>
    </row>
    <row r="169" spans="1:21" x14ac:dyDescent="0.3">
      <c r="A169" t="s">
        <v>229</v>
      </c>
      <c r="B169" t="s">
        <v>58</v>
      </c>
      <c r="C169" t="s">
        <v>23</v>
      </c>
      <c r="D169">
        <v>6.1</v>
      </c>
      <c r="E169" t="s">
        <v>54</v>
      </c>
      <c r="F169" t="s">
        <v>49</v>
      </c>
      <c r="G169">
        <v>5500</v>
      </c>
      <c r="H169">
        <v>29</v>
      </c>
      <c r="I169">
        <v>29</v>
      </c>
      <c r="J169">
        <v>13</v>
      </c>
      <c r="K169">
        <v>44.8</v>
      </c>
      <c r="L169" t="s">
        <v>26</v>
      </c>
      <c r="M169" t="s">
        <v>26</v>
      </c>
      <c r="N169" t="s">
        <v>27</v>
      </c>
      <c r="O169" t="s">
        <v>26</v>
      </c>
      <c r="P169" t="s">
        <v>26</v>
      </c>
      <c r="Q169" t="s">
        <v>28</v>
      </c>
      <c r="R169" s="7">
        <v>45835</v>
      </c>
      <c r="S169">
        <v>3.4</v>
      </c>
      <c r="T169">
        <v>17</v>
      </c>
      <c r="U169" t="s">
        <v>29</v>
      </c>
    </row>
    <row r="170" spans="1:21" x14ac:dyDescent="0.3">
      <c r="A170" t="s">
        <v>230</v>
      </c>
      <c r="B170" t="s">
        <v>85</v>
      </c>
      <c r="C170" t="s">
        <v>47</v>
      </c>
      <c r="D170">
        <v>6</v>
      </c>
      <c r="E170" t="s">
        <v>24</v>
      </c>
      <c r="F170" t="s">
        <v>25</v>
      </c>
      <c r="G170">
        <v>4750</v>
      </c>
      <c r="H170">
        <v>35</v>
      </c>
      <c r="I170">
        <v>70</v>
      </c>
      <c r="J170">
        <v>49</v>
      </c>
      <c r="K170">
        <v>70</v>
      </c>
      <c r="L170" t="s">
        <v>27</v>
      </c>
      <c r="M170" t="s">
        <v>27</v>
      </c>
      <c r="N170" t="s">
        <v>27</v>
      </c>
      <c r="O170" t="s">
        <v>26</v>
      </c>
      <c r="P170" t="s">
        <v>27</v>
      </c>
      <c r="Q170" t="s">
        <v>65</v>
      </c>
      <c r="R170" s="7">
        <v>45696</v>
      </c>
      <c r="S170">
        <v>3.9</v>
      </c>
      <c r="T170">
        <v>0</v>
      </c>
      <c r="U170" t="s">
        <v>29</v>
      </c>
    </row>
    <row r="171" spans="1:21" x14ac:dyDescent="0.3">
      <c r="A171" t="s">
        <v>231</v>
      </c>
      <c r="B171" t="s">
        <v>43</v>
      </c>
      <c r="C171" t="s">
        <v>38</v>
      </c>
      <c r="D171">
        <v>6</v>
      </c>
      <c r="E171" t="s">
        <v>24</v>
      </c>
      <c r="F171" t="s">
        <v>25</v>
      </c>
      <c r="G171">
        <v>6250</v>
      </c>
      <c r="H171">
        <v>28</v>
      </c>
      <c r="I171">
        <v>56</v>
      </c>
      <c r="J171">
        <v>31</v>
      </c>
      <c r="K171">
        <v>55.4</v>
      </c>
      <c r="L171" t="s">
        <v>27</v>
      </c>
      <c r="M171" t="s">
        <v>26</v>
      </c>
      <c r="N171" t="s">
        <v>27</v>
      </c>
      <c r="O171" t="s">
        <v>26</v>
      </c>
      <c r="P171" t="s">
        <v>26</v>
      </c>
      <c r="Q171" t="s">
        <v>28</v>
      </c>
      <c r="R171" s="7">
        <v>46135</v>
      </c>
      <c r="S171">
        <v>3.6</v>
      </c>
      <c r="T171">
        <v>12</v>
      </c>
      <c r="U171" t="s">
        <v>29</v>
      </c>
    </row>
    <row r="172" spans="1:21" x14ac:dyDescent="0.3">
      <c r="A172" t="s">
        <v>232</v>
      </c>
      <c r="B172" t="s">
        <v>37</v>
      </c>
      <c r="C172" t="s">
        <v>38</v>
      </c>
      <c r="D172">
        <v>2.7</v>
      </c>
      <c r="E172" t="s">
        <v>48</v>
      </c>
      <c r="F172" t="s">
        <v>34</v>
      </c>
      <c r="G172">
        <v>4050</v>
      </c>
      <c r="H172">
        <v>19</v>
      </c>
      <c r="I172">
        <v>76</v>
      </c>
      <c r="J172">
        <v>69</v>
      </c>
      <c r="K172">
        <v>90.8</v>
      </c>
      <c r="L172" t="s">
        <v>26</v>
      </c>
      <c r="M172" t="s">
        <v>26</v>
      </c>
      <c r="N172" t="s">
        <v>26</v>
      </c>
      <c r="O172" t="s">
        <v>26</v>
      </c>
      <c r="P172" t="s">
        <v>26</v>
      </c>
      <c r="Q172" t="s">
        <v>35</v>
      </c>
      <c r="R172" s="7">
        <v>45971</v>
      </c>
      <c r="S172">
        <v>4.4000000000000004</v>
      </c>
      <c r="T172">
        <v>9</v>
      </c>
      <c r="U172" t="s">
        <v>29</v>
      </c>
    </row>
    <row r="173" spans="1:21" x14ac:dyDescent="0.3">
      <c r="A173" t="s">
        <v>233</v>
      </c>
      <c r="B173" t="s">
        <v>53</v>
      </c>
      <c r="C173" t="s">
        <v>32</v>
      </c>
      <c r="D173">
        <v>3.3</v>
      </c>
      <c r="E173" t="s">
        <v>24</v>
      </c>
      <c r="F173" t="s">
        <v>49</v>
      </c>
      <c r="G173">
        <v>6500</v>
      </c>
      <c r="H173">
        <v>35</v>
      </c>
      <c r="I173">
        <v>70</v>
      </c>
      <c r="J173">
        <v>35</v>
      </c>
      <c r="K173">
        <v>50</v>
      </c>
      <c r="L173" t="s">
        <v>26</v>
      </c>
      <c r="M173" t="s">
        <v>26</v>
      </c>
      <c r="N173" t="s">
        <v>26</v>
      </c>
      <c r="O173" t="s">
        <v>26</v>
      </c>
      <c r="P173" t="s">
        <v>26</v>
      </c>
      <c r="Q173" t="s">
        <v>35</v>
      </c>
      <c r="R173" s="7">
        <v>46165</v>
      </c>
      <c r="S173">
        <v>4.4000000000000004</v>
      </c>
      <c r="T173">
        <v>5</v>
      </c>
      <c r="U173" t="s">
        <v>29</v>
      </c>
    </row>
    <row r="174" spans="1:21" x14ac:dyDescent="0.3">
      <c r="A174" t="s">
        <v>234</v>
      </c>
      <c r="B174" t="s">
        <v>85</v>
      </c>
      <c r="C174" t="s">
        <v>23</v>
      </c>
      <c r="D174">
        <v>6.5</v>
      </c>
      <c r="E174" t="s">
        <v>54</v>
      </c>
      <c r="F174" t="s">
        <v>34</v>
      </c>
      <c r="G174">
        <v>9250</v>
      </c>
      <c r="H174">
        <v>16</v>
      </c>
      <c r="I174">
        <v>16</v>
      </c>
      <c r="J174">
        <v>8</v>
      </c>
      <c r="K174">
        <v>50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65</v>
      </c>
      <c r="R174" s="7">
        <v>46060</v>
      </c>
      <c r="S174">
        <v>3.8</v>
      </c>
      <c r="T174">
        <v>14</v>
      </c>
      <c r="U174" t="s">
        <v>29</v>
      </c>
    </row>
    <row r="175" spans="1:21" x14ac:dyDescent="0.3">
      <c r="A175" t="s">
        <v>235</v>
      </c>
      <c r="B175" t="s">
        <v>40</v>
      </c>
      <c r="C175" t="s">
        <v>41</v>
      </c>
      <c r="D175">
        <v>0.4</v>
      </c>
      <c r="E175" t="s">
        <v>24</v>
      </c>
      <c r="F175" t="s">
        <v>49</v>
      </c>
      <c r="G175">
        <v>5750</v>
      </c>
      <c r="H175">
        <v>18</v>
      </c>
      <c r="I175">
        <v>36</v>
      </c>
      <c r="J175">
        <v>36</v>
      </c>
      <c r="K175">
        <v>100</v>
      </c>
      <c r="L175" t="s">
        <v>26</v>
      </c>
      <c r="M175" t="s">
        <v>26</v>
      </c>
      <c r="N175" t="s">
        <v>27</v>
      </c>
      <c r="O175" t="s">
        <v>27</v>
      </c>
      <c r="P175" t="s">
        <v>26</v>
      </c>
      <c r="Q175" t="s">
        <v>28</v>
      </c>
      <c r="R175" s="7">
        <v>46135</v>
      </c>
      <c r="S175">
        <v>4</v>
      </c>
      <c r="T175">
        <v>17</v>
      </c>
      <c r="U175" t="s">
        <v>29</v>
      </c>
    </row>
    <row r="176" spans="1:21" x14ac:dyDescent="0.3">
      <c r="A176" t="s">
        <v>236</v>
      </c>
      <c r="B176" t="s">
        <v>72</v>
      </c>
      <c r="C176" t="s">
        <v>23</v>
      </c>
      <c r="D176">
        <v>5.7</v>
      </c>
      <c r="E176" t="s">
        <v>48</v>
      </c>
      <c r="F176" t="s">
        <v>34</v>
      </c>
      <c r="G176">
        <v>3800</v>
      </c>
      <c r="H176">
        <v>21</v>
      </c>
      <c r="I176">
        <v>84</v>
      </c>
      <c r="J176">
        <v>56</v>
      </c>
      <c r="K176">
        <v>66.7</v>
      </c>
      <c r="L176" t="s">
        <v>27</v>
      </c>
      <c r="M176" t="s">
        <v>26</v>
      </c>
      <c r="N176" t="s">
        <v>26</v>
      </c>
      <c r="O176" t="s">
        <v>26</v>
      </c>
      <c r="P176" t="s">
        <v>26</v>
      </c>
      <c r="Q176" t="s">
        <v>28</v>
      </c>
      <c r="R176" s="7">
        <v>45771</v>
      </c>
      <c r="S176">
        <v>4.2</v>
      </c>
      <c r="T176">
        <v>11</v>
      </c>
      <c r="U176" t="s">
        <v>29</v>
      </c>
    </row>
    <row r="177" spans="1:21" x14ac:dyDescent="0.3">
      <c r="A177" t="s">
        <v>237</v>
      </c>
      <c r="B177" t="s">
        <v>40</v>
      </c>
      <c r="C177" t="s">
        <v>47</v>
      </c>
      <c r="D177">
        <v>6.1</v>
      </c>
      <c r="E177" t="s">
        <v>33</v>
      </c>
      <c r="F177" t="s">
        <v>34</v>
      </c>
      <c r="G177">
        <v>5250</v>
      </c>
      <c r="H177">
        <v>35</v>
      </c>
      <c r="I177">
        <v>105</v>
      </c>
      <c r="J177">
        <v>57</v>
      </c>
      <c r="K177">
        <v>54.3</v>
      </c>
      <c r="L177" t="s">
        <v>26</v>
      </c>
      <c r="M177" t="s">
        <v>26</v>
      </c>
      <c r="N177" t="s">
        <v>26</v>
      </c>
      <c r="O177" t="s">
        <v>26</v>
      </c>
      <c r="P177" t="s">
        <v>26</v>
      </c>
      <c r="Q177" t="s">
        <v>35</v>
      </c>
      <c r="R177" s="7">
        <v>45809</v>
      </c>
      <c r="S177">
        <v>3.8</v>
      </c>
      <c r="T177">
        <v>17</v>
      </c>
      <c r="U177" t="s">
        <v>29</v>
      </c>
    </row>
    <row r="178" spans="1:21" x14ac:dyDescent="0.3">
      <c r="A178" t="s">
        <v>238</v>
      </c>
      <c r="B178" t="s">
        <v>46</v>
      </c>
      <c r="C178" t="s">
        <v>41</v>
      </c>
      <c r="D178">
        <v>2.2999999999999998</v>
      </c>
      <c r="E178" t="s">
        <v>33</v>
      </c>
      <c r="F178" t="s">
        <v>34</v>
      </c>
      <c r="G178">
        <v>4500</v>
      </c>
      <c r="H178">
        <v>14</v>
      </c>
      <c r="I178">
        <v>42</v>
      </c>
      <c r="J178">
        <v>18</v>
      </c>
      <c r="K178">
        <v>42.9</v>
      </c>
      <c r="L178" t="s">
        <v>26</v>
      </c>
      <c r="M178" t="s">
        <v>26</v>
      </c>
      <c r="N178" t="s">
        <v>27</v>
      </c>
      <c r="O178" t="s">
        <v>26</v>
      </c>
      <c r="P178" t="s">
        <v>26</v>
      </c>
      <c r="Q178" t="s">
        <v>28</v>
      </c>
      <c r="R178" s="7">
        <v>46088</v>
      </c>
      <c r="S178">
        <v>4.3</v>
      </c>
      <c r="T178">
        <v>7</v>
      </c>
      <c r="U178" t="s">
        <v>29</v>
      </c>
    </row>
    <row r="179" spans="1:21" x14ac:dyDescent="0.3">
      <c r="A179" t="s">
        <v>239</v>
      </c>
      <c r="B179" t="s">
        <v>37</v>
      </c>
      <c r="C179" t="s">
        <v>64</v>
      </c>
      <c r="D179">
        <v>1.2</v>
      </c>
      <c r="E179" t="s">
        <v>33</v>
      </c>
      <c r="F179" t="s">
        <v>49</v>
      </c>
      <c r="G179">
        <v>5000</v>
      </c>
      <c r="H179">
        <v>34</v>
      </c>
      <c r="I179">
        <v>102</v>
      </c>
      <c r="J179">
        <v>83</v>
      </c>
      <c r="K179">
        <v>81.400000000000006</v>
      </c>
      <c r="L179" t="s">
        <v>26</v>
      </c>
      <c r="M179" t="s">
        <v>26</v>
      </c>
      <c r="N179" t="s">
        <v>26</v>
      </c>
      <c r="O179" t="s">
        <v>26</v>
      </c>
      <c r="P179" t="s">
        <v>26</v>
      </c>
      <c r="Q179" t="s">
        <v>35</v>
      </c>
      <c r="R179" s="7">
        <v>46129</v>
      </c>
      <c r="S179">
        <v>4.4000000000000004</v>
      </c>
      <c r="T179">
        <v>14</v>
      </c>
      <c r="U179" t="s">
        <v>29</v>
      </c>
    </row>
    <row r="180" spans="1:21" x14ac:dyDescent="0.3">
      <c r="A180" t="s">
        <v>240</v>
      </c>
      <c r="B180" t="s">
        <v>46</v>
      </c>
      <c r="C180" t="s">
        <v>23</v>
      </c>
      <c r="D180">
        <v>6.5</v>
      </c>
      <c r="E180" t="s">
        <v>54</v>
      </c>
      <c r="F180" t="s">
        <v>49</v>
      </c>
      <c r="G180">
        <v>11250</v>
      </c>
      <c r="H180">
        <v>37</v>
      </c>
      <c r="I180">
        <v>37</v>
      </c>
      <c r="J180">
        <v>32</v>
      </c>
      <c r="K180">
        <v>86.5</v>
      </c>
      <c r="L180" t="s">
        <v>27</v>
      </c>
      <c r="M180" t="s">
        <v>26</v>
      </c>
      <c r="N180" t="s">
        <v>26</v>
      </c>
      <c r="O180" t="s">
        <v>26</v>
      </c>
      <c r="P180" t="s">
        <v>27</v>
      </c>
      <c r="Q180" t="s">
        <v>28</v>
      </c>
      <c r="R180" s="7">
        <v>46033</v>
      </c>
      <c r="S180">
        <v>3.9</v>
      </c>
      <c r="T180">
        <v>15</v>
      </c>
      <c r="U180" t="s">
        <v>29</v>
      </c>
    </row>
    <row r="181" spans="1:21" x14ac:dyDescent="0.3">
      <c r="A181" t="s">
        <v>241</v>
      </c>
      <c r="B181" t="s">
        <v>72</v>
      </c>
      <c r="C181" t="s">
        <v>44</v>
      </c>
      <c r="D181">
        <v>4.3</v>
      </c>
      <c r="E181" t="s">
        <v>48</v>
      </c>
      <c r="F181" t="s">
        <v>34</v>
      </c>
      <c r="G181">
        <v>3050</v>
      </c>
      <c r="H181">
        <v>11</v>
      </c>
      <c r="I181">
        <v>44</v>
      </c>
      <c r="J181">
        <v>16</v>
      </c>
      <c r="K181">
        <v>36.4</v>
      </c>
      <c r="L181" t="s">
        <v>26</v>
      </c>
      <c r="M181" t="s">
        <v>27</v>
      </c>
      <c r="N181" t="s">
        <v>26</v>
      </c>
      <c r="O181" t="s">
        <v>27</v>
      </c>
      <c r="P181" t="s">
        <v>26</v>
      </c>
      <c r="Q181" t="s">
        <v>28</v>
      </c>
      <c r="R181" s="7">
        <v>45768</v>
      </c>
      <c r="S181">
        <v>5</v>
      </c>
      <c r="T181">
        <v>14</v>
      </c>
      <c r="U181" t="s">
        <v>29</v>
      </c>
    </row>
    <row r="182" spans="1:21" x14ac:dyDescent="0.3">
      <c r="A182" t="s">
        <v>242</v>
      </c>
      <c r="B182" t="s">
        <v>83</v>
      </c>
      <c r="C182" t="s">
        <v>47</v>
      </c>
      <c r="D182">
        <v>7.5</v>
      </c>
      <c r="E182" t="s">
        <v>24</v>
      </c>
      <c r="F182" t="s">
        <v>25</v>
      </c>
      <c r="G182">
        <v>5750</v>
      </c>
      <c r="H182">
        <v>18</v>
      </c>
      <c r="I182">
        <v>36</v>
      </c>
      <c r="J182">
        <v>20</v>
      </c>
      <c r="K182">
        <v>55.6</v>
      </c>
      <c r="L182" t="s">
        <v>26</v>
      </c>
      <c r="M182" t="s">
        <v>26</v>
      </c>
      <c r="N182" t="s">
        <v>26</v>
      </c>
      <c r="O182" t="s">
        <v>26</v>
      </c>
      <c r="P182" t="s">
        <v>26</v>
      </c>
      <c r="Q182" t="s">
        <v>35</v>
      </c>
      <c r="R182" s="7">
        <v>45762</v>
      </c>
      <c r="S182">
        <v>3.6</v>
      </c>
      <c r="T182">
        <v>1</v>
      </c>
      <c r="U182" t="s">
        <v>29</v>
      </c>
    </row>
    <row r="183" spans="1:21" x14ac:dyDescent="0.3">
      <c r="A183" t="s">
        <v>243</v>
      </c>
      <c r="B183" t="s">
        <v>40</v>
      </c>
      <c r="C183" t="s">
        <v>32</v>
      </c>
      <c r="D183">
        <v>5</v>
      </c>
      <c r="E183" t="s">
        <v>54</v>
      </c>
      <c r="F183" t="s">
        <v>25</v>
      </c>
      <c r="G183">
        <v>5500</v>
      </c>
      <c r="H183">
        <v>21</v>
      </c>
      <c r="I183">
        <v>21</v>
      </c>
      <c r="J183">
        <v>14</v>
      </c>
      <c r="K183">
        <v>66.7</v>
      </c>
      <c r="L183" t="s">
        <v>27</v>
      </c>
      <c r="M183" t="s">
        <v>26</v>
      </c>
      <c r="N183" t="s">
        <v>27</v>
      </c>
      <c r="O183" t="s">
        <v>26</v>
      </c>
      <c r="P183" t="s">
        <v>26</v>
      </c>
      <c r="Q183" t="s">
        <v>28</v>
      </c>
      <c r="R183" s="7">
        <v>45746</v>
      </c>
      <c r="S183">
        <v>4.3</v>
      </c>
      <c r="T183">
        <v>0</v>
      </c>
      <c r="U183" t="s">
        <v>29</v>
      </c>
    </row>
    <row r="184" spans="1:21" x14ac:dyDescent="0.3">
      <c r="A184" t="s">
        <v>244</v>
      </c>
      <c r="B184" t="s">
        <v>46</v>
      </c>
      <c r="C184" t="s">
        <v>38</v>
      </c>
      <c r="D184">
        <v>7.4</v>
      </c>
      <c r="E184" t="s">
        <v>48</v>
      </c>
      <c r="F184" t="s">
        <v>49</v>
      </c>
      <c r="G184">
        <v>4550</v>
      </c>
      <c r="H184">
        <v>16</v>
      </c>
      <c r="I184">
        <v>64</v>
      </c>
      <c r="J184">
        <v>52</v>
      </c>
      <c r="K184">
        <v>81.2</v>
      </c>
      <c r="L184" t="s">
        <v>26</v>
      </c>
      <c r="M184" t="s">
        <v>26</v>
      </c>
      <c r="N184" t="s">
        <v>26</v>
      </c>
      <c r="O184" t="s">
        <v>26</v>
      </c>
      <c r="P184" t="s">
        <v>27</v>
      </c>
      <c r="Q184" t="s">
        <v>28</v>
      </c>
      <c r="R184" s="7">
        <v>45739</v>
      </c>
      <c r="S184">
        <v>3.7</v>
      </c>
      <c r="T184">
        <v>10</v>
      </c>
      <c r="U184" t="s">
        <v>29</v>
      </c>
    </row>
    <row r="185" spans="1:21" x14ac:dyDescent="0.3">
      <c r="A185" t="s">
        <v>245</v>
      </c>
      <c r="B185" t="s">
        <v>75</v>
      </c>
      <c r="C185" t="s">
        <v>44</v>
      </c>
      <c r="D185">
        <v>0.7</v>
      </c>
      <c r="E185" t="s">
        <v>54</v>
      </c>
      <c r="F185" t="s">
        <v>34</v>
      </c>
      <c r="G185">
        <v>10250</v>
      </c>
      <c r="H185">
        <v>18</v>
      </c>
      <c r="I185">
        <v>18</v>
      </c>
      <c r="J185">
        <v>13</v>
      </c>
      <c r="K185">
        <v>72.2</v>
      </c>
      <c r="L185" t="s">
        <v>27</v>
      </c>
      <c r="M185" t="s">
        <v>26</v>
      </c>
      <c r="N185" t="s">
        <v>26</v>
      </c>
      <c r="O185" t="s">
        <v>26</v>
      </c>
      <c r="P185" t="s">
        <v>26</v>
      </c>
      <c r="Q185" t="s">
        <v>28</v>
      </c>
      <c r="R185" s="7">
        <v>46026</v>
      </c>
      <c r="S185">
        <v>4.3</v>
      </c>
      <c r="T185">
        <v>2</v>
      </c>
      <c r="U185" t="s">
        <v>29</v>
      </c>
    </row>
    <row r="186" spans="1:21" x14ac:dyDescent="0.3">
      <c r="A186" t="s">
        <v>246</v>
      </c>
      <c r="B186" t="s">
        <v>75</v>
      </c>
      <c r="C186" t="s">
        <v>38</v>
      </c>
      <c r="D186">
        <v>4.5</v>
      </c>
      <c r="E186" t="s">
        <v>48</v>
      </c>
      <c r="F186" t="s">
        <v>49</v>
      </c>
      <c r="G186">
        <v>3050</v>
      </c>
      <c r="H186">
        <v>35</v>
      </c>
      <c r="I186">
        <v>140</v>
      </c>
      <c r="J186">
        <v>89</v>
      </c>
      <c r="K186">
        <v>63.6</v>
      </c>
      <c r="L186" t="s">
        <v>26</v>
      </c>
      <c r="M186" t="s">
        <v>26</v>
      </c>
      <c r="N186" t="s">
        <v>27</v>
      </c>
      <c r="O186" t="s">
        <v>26</v>
      </c>
      <c r="P186" t="s">
        <v>26</v>
      </c>
      <c r="Q186" t="s">
        <v>28</v>
      </c>
      <c r="R186" s="7">
        <v>45810</v>
      </c>
      <c r="S186">
        <v>3.3</v>
      </c>
      <c r="T186">
        <v>17</v>
      </c>
      <c r="U186" t="s">
        <v>29</v>
      </c>
    </row>
    <row r="187" spans="1:21" x14ac:dyDescent="0.3">
      <c r="A187" t="s">
        <v>247</v>
      </c>
      <c r="B187" t="s">
        <v>56</v>
      </c>
      <c r="C187" t="s">
        <v>41</v>
      </c>
      <c r="D187">
        <v>1.7</v>
      </c>
      <c r="E187" t="s">
        <v>24</v>
      </c>
      <c r="F187" t="s">
        <v>25</v>
      </c>
      <c r="G187">
        <v>6500</v>
      </c>
      <c r="H187">
        <v>26</v>
      </c>
      <c r="I187">
        <v>52</v>
      </c>
      <c r="J187">
        <v>21</v>
      </c>
      <c r="K187">
        <v>40.4</v>
      </c>
      <c r="L187" t="s">
        <v>26</v>
      </c>
      <c r="M187" t="s">
        <v>27</v>
      </c>
      <c r="N187" t="s">
        <v>26</v>
      </c>
      <c r="O187" t="s">
        <v>27</v>
      </c>
      <c r="P187" t="s">
        <v>27</v>
      </c>
      <c r="Q187" t="s">
        <v>65</v>
      </c>
      <c r="R187" s="7">
        <v>45912</v>
      </c>
      <c r="S187">
        <v>3.5</v>
      </c>
      <c r="T187">
        <v>2</v>
      </c>
      <c r="U187" t="s">
        <v>29</v>
      </c>
    </row>
    <row r="188" spans="1:21" x14ac:dyDescent="0.3">
      <c r="A188" t="s">
        <v>248</v>
      </c>
      <c r="B188" t="s">
        <v>56</v>
      </c>
      <c r="C188" t="s">
        <v>81</v>
      </c>
      <c r="D188">
        <v>7</v>
      </c>
      <c r="E188" t="s">
        <v>24</v>
      </c>
      <c r="F188" t="s">
        <v>34</v>
      </c>
      <c r="G188">
        <v>6500</v>
      </c>
      <c r="H188">
        <v>44</v>
      </c>
      <c r="I188">
        <v>88</v>
      </c>
      <c r="J188">
        <v>56</v>
      </c>
      <c r="K188">
        <v>63.6</v>
      </c>
      <c r="L188" t="s">
        <v>26</v>
      </c>
      <c r="M188" t="s">
        <v>26</v>
      </c>
      <c r="N188" t="s">
        <v>26</v>
      </c>
      <c r="O188" t="s">
        <v>26</v>
      </c>
      <c r="P188" t="s">
        <v>27</v>
      </c>
      <c r="Q188" t="s">
        <v>28</v>
      </c>
      <c r="R188" s="7">
        <v>46041</v>
      </c>
      <c r="S188">
        <v>4</v>
      </c>
      <c r="T188">
        <v>0</v>
      </c>
      <c r="U188" t="s">
        <v>29</v>
      </c>
    </row>
    <row r="189" spans="1:21" x14ac:dyDescent="0.3">
      <c r="A189" t="s">
        <v>249</v>
      </c>
      <c r="B189" t="s">
        <v>37</v>
      </c>
      <c r="C189" t="s">
        <v>41</v>
      </c>
      <c r="D189">
        <v>4.8</v>
      </c>
      <c r="E189" t="s">
        <v>48</v>
      </c>
      <c r="F189" t="s">
        <v>34</v>
      </c>
      <c r="G189">
        <v>3300</v>
      </c>
      <c r="H189">
        <v>33</v>
      </c>
      <c r="I189">
        <v>132</v>
      </c>
      <c r="J189">
        <v>56</v>
      </c>
      <c r="K189">
        <v>42.4</v>
      </c>
      <c r="L189" t="s">
        <v>26</v>
      </c>
      <c r="M189" t="s">
        <v>26</v>
      </c>
      <c r="N189" t="s">
        <v>26</v>
      </c>
      <c r="O189" t="s">
        <v>26</v>
      </c>
      <c r="P189" t="s">
        <v>26</v>
      </c>
      <c r="Q189" t="s">
        <v>35</v>
      </c>
      <c r="R189" s="7">
        <v>46216</v>
      </c>
      <c r="S189">
        <v>4.2</v>
      </c>
      <c r="T189">
        <v>16</v>
      </c>
      <c r="U189" t="s">
        <v>29</v>
      </c>
    </row>
    <row r="190" spans="1:21" x14ac:dyDescent="0.3">
      <c r="A190" t="s">
        <v>250</v>
      </c>
      <c r="B190" t="s">
        <v>75</v>
      </c>
      <c r="C190" t="s">
        <v>81</v>
      </c>
      <c r="D190">
        <v>3.1</v>
      </c>
      <c r="E190" t="s">
        <v>54</v>
      </c>
      <c r="F190" t="s">
        <v>25</v>
      </c>
      <c r="G190">
        <v>7750</v>
      </c>
      <c r="H190">
        <v>35</v>
      </c>
      <c r="I190">
        <v>35</v>
      </c>
      <c r="J190">
        <v>35</v>
      </c>
      <c r="K190">
        <v>100</v>
      </c>
      <c r="L190" t="s">
        <v>27</v>
      </c>
      <c r="M190" t="s">
        <v>26</v>
      </c>
      <c r="N190" t="s">
        <v>26</v>
      </c>
      <c r="O190" t="s">
        <v>26</v>
      </c>
      <c r="P190" t="s">
        <v>26</v>
      </c>
      <c r="Q190" t="s">
        <v>28</v>
      </c>
      <c r="R190" s="7">
        <v>45911</v>
      </c>
      <c r="S190">
        <v>3.9</v>
      </c>
      <c r="T190">
        <v>14</v>
      </c>
      <c r="U190" t="s">
        <v>29</v>
      </c>
    </row>
    <row r="191" spans="1:21" x14ac:dyDescent="0.3">
      <c r="A191" t="s">
        <v>251</v>
      </c>
      <c r="B191" t="s">
        <v>70</v>
      </c>
      <c r="C191" t="s">
        <v>38</v>
      </c>
      <c r="D191">
        <v>0.3</v>
      </c>
      <c r="E191" t="s">
        <v>24</v>
      </c>
      <c r="F191" t="s">
        <v>34</v>
      </c>
      <c r="G191">
        <v>3500</v>
      </c>
      <c r="H191">
        <v>18</v>
      </c>
      <c r="I191">
        <v>36</v>
      </c>
      <c r="J191">
        <v>27</v>
      </c>
      <c r="K191">
        <v>75</v>
      </c>
      <c r="L191" t="s">
        <v>26</v>
      </c>
      <c r="M191" t="s">
        <v>26</v>
      </c>
      <c r="N191" t="s">
        <v>26</v>
      </c>
      <c r="O191" t="s">
        <v>26</v>
      </c>
      <c r="P191" t="s">
        <v>26</v>
      </c>
      <c r="Q191" t="s">
        <v>35</v>
      </c>
      <c r="R191" s="7">
        <v>46022</v>
      </c>
      <c r="S191">
        <v>3.9</v>
      </c>
      <c r="T191">
        <v>3</v>
      </c>
      <c r="U191" t="s">
        <v>29</v>
      </c>
    </row>
    <row r="192" spans="1:21" x14ac:dyDescent="0.3">
      <c r="A192" t="s">
        <v>252</v>
      </c>
      <c r="B192" t="s">
        <v>46</v>
      </c>
      <c r="C192" t="s">
        <v>32</v>
      </c>
      <c r="D192">
        <v>2.2000000000000002</v>
      </c>
      <c r="E192" t="s">
        <v>54</v>
      </c>
      <c r="F192" t="s">
        <v>34</v>
      </c>
      <c r="G192">
        <v>7500</v>
      </c>
      <c r="H192">
        <v>44</v>
      </c>
      <c r="I192">
        <v>44</v>
      </c>
      <c r="J192">
        <v>35</v>
      </c>
      <c r="K192">
        <v>79.5</v>
      </c>
      <c r="L192" t="s">
        <v>26</v>
      </c>
      <c r="M192" t="s">
        <v>26</v>
      </c>
      <c r="N192" t="s">
        <v>27</v>
      </c>
      <c r="O192" t="s">
        <v>27</v>
      </c>
      <c r="P192" t="s">
        <v>27</v>
      </c>
      <c r="Q192" t="s">
        <v>65</v>
      </c>
      <c r="R192" s="7">
        <v>45745</v>
      </c>
      <c r="S192">
        <v>4.2</v>
      </c>
      <c r="T192">
        <v>15</v>
      </c>
      <c r="U192" t="s">
        <v>29</v>
      </c>
    </row>
    <row r="193" spans="1:21" x14ac:dyDescent="0.3">
      <c r="A193" t="s">
        <v>253</v>
      </c>
      <c r="B193" t="s">
        <v>78</v>
      </c>
      <c r="C193" t="s">
        <v>38</v>
      </c>
      <c r="D193">
        <v>6.7</v>
      </c>
      <c r="E193" t="s">
        <v>54</v>
      </c>
      <c r="F193" t="s">
        <v>34</v>
      </c>
      <c r="G193">
        <v>7250</v>
      </c>
      <c r="H193">
        <v>40</v>
      </c>
      <c r="I193">
        <v>40</v>
      </c>
      <c r="J193">
        <v>14</v>
      </c>
      <c r="K193">
        <v>35</v>
      </c>
      <c r="L193" t="s">
        <v>27</v>
      </c>
      <c r="M193" t="s">
        <v>26</v>
      </c>
      <c r="N193" t="s">
        <v>26</v>
      </c>
      <c r="O193" t="s">
        <v>26</v>
      </c>
      <c r="P193" t="s">
        <v>26</v>
      </c>
      <c r="Q193" t="s">
        <v>28</v>
      </c>
      <c r="R193" s="7">
        <v>45712</v>
      </c>
      <c r="S193">
        <v>3.7</v>
      </c>
      <c r="T193">
        <v>12</v>
      </c>
      <c r="U193" t="s">
        <v>29</v>
      </c>
    </row>
    <row r="194" spans="1:21" x14ac:dyDescent="0.3">
      <c r="A194" t="s">
        <v>254</v>
      </c>
      <c r="B194" t="s">
        <v>70</v>
      </c>
      <c r="C194" t="s">
        <v>23</v>
      </c>
      <c r="D194">
        <v>4.2</v>
      </c>
      <c r="E194" t="s">
        <v>48</v>
      </c>
      <c r="F194" t="s">
        <v>34</v>
      </c>
      <c r="G194">
        <v>2550</v>
      </c>
      <c r="H194">
        <v>28</v>
      </c>
      <c r="I194">
        <v>112</v>
      </c>
      <c r="J194">
        <v>70</v>
      </c>
      <c r="K194">
        <v>62.5</v>
      </c>
      <c r="L194" t="s">
        <v>26</v>
      </c>
      <c r="M194" t="s">
        <v>26</v>
      </c>
      <c r="N194" t="s">
        <v>26</v>
      </c>
      <c r="O194" t="s">
        <v>26</v>
      </c>
      <c r="P194" t="s">
        <v>26</v>
      </c>
      <c r="Q194" t="s">
        <v>35</v>
      </c>
      <c r="R194" s="7">
        <v>46093</v>
      </c>
      <c r="S194">
        <v>3.9</v>
      </c>
      <c r="T194">
        <v>16</v>
      </c>
      <c r="U194" t="s">
        <v>29</v>
      </c>
    </row>
    <row r="195" spans="1:21" x14ac:dyDescent="0.3">
      <c r="A195" t="s">
        <v>255</v>
      </c>
      <c r="B195" t="s">
        <v>53</v>
      </c>
      <c r="C195" t="s">
        <v>23</v>
      </c>
      <c r="D195">
        <v>7.2</v>
      </c>
      <c r="E195" t="s">
        <v>54</v>
      </c>
      <c r="F195" t="s">
        <v>25</v>
      </c>
      <c r="G195">
        <v>9000</v>
      </c>
      <c r="H195">
        <v>26</v>
      </c>
      <c r="I195">
        <v>26</v>
      </c>
      <c r="J195">
        <v>18</v>
      </c>
      <c r="K195">
        <v>69.2</v>
      </c>
      <c r="L195" t="s">
        <v>26</v>
      </c>
      <c r="M195" t="s">
        <v>26</v>
      </c>
      <c r="N195" t="s">
        <v>26</v>
      </c>
      <c r="O195" t="s">
        <v>26</v>
      </c>
      <c r="P195" t="s">
        <v>27</v>
      </c>
      <c r="Q195" t="s">
        <v>28</v>
      </c>
      <c r="R195" s="7">
        <v>46002</v>
      </c>
      <c r="S195">
        <v>3.8</v>
      </c>
      <c r="T195">
        <v>9</v>
      </c>
      <c r="U195" t="s">
        <v>29</v>
      </c>
    </row>
    <row r="196" spans="1:21" x14ac:dyDescent="0.3">
      <c r="A196" t="s">
        <v>256</v>
      </c>
      <c r="B196" t="s">
        <v>58</v>
      </c>
      <c r="C196" t="s">
        <v>47</v>
      </c>
      <c r="D196">
        <v>3.6</v>
      </c>
      <c r="E196" t="s">
        <v>48</v>
      </c>
      <c r="F196" t="s">
        <v>34</v>
      </c>
      <c r="G196">
        <v>2550</v>
      </c>
      <c r="H196">
        <v>42</v>
      </c>
      <c r="I196">
        <v>168</v>
      </c>
      <c r="J196">
        <v>155</v>
      </c>
      <c r="K196">
        <v>92.3</v>
      </c>
      <c r="L196" t="s">
        <v>26</v>
      </c>
      <c r="M196" t="s">
        <v>26</v>
      </c>
      <c r="N196" t="s">
        <v>26</v>
      </c>
      <c r="O196" t="s">
        <v>26</v>
      </c>
      <c r="P196" t="s">
        <v>26</v>
      </c>
      <c r="Q196" t="s">
        <v>35</v>
      </c>
      <c r="R196" s="7">
        <v>45918</v>
      </c>
      <c r="S196">
        <v>3.4</v>
      </c>
      <c r="T196">
        <v>17</v>
      </c>
      <c r="U196" t="s">
        <v>29</v>
      </c>
    </row>
    <row r="197" spans="1:21" x14ac:dyDescent="0.3">
      <c r="A197" t="s">
        <v>257</v>
      </c>
      <c r="B197" t="s">
        <v>46</v>
      </c>
      <c r="C197" t="s">
        <v>23</v>
      </c>
      <c r="D197">
        <v>5.7</v>
      </c>
      <c r="E197" t="s">
        <v>48</v>
      </c>
      <c r="F197" t="s">
        <v>34</v>
      </c>
      <c r="G197">
        <v>4550</v>
      </c>
      <c r="H197">
        <v>27</v>
      </c>
      <c r="I197">
        <v>108</v>
      </c>
      <c r="J197">
        <v>50</v>
      </c>
      <c r="K197">
        <v>46.3</v>
      </c>
      <c r="L197" t="s">
        <v>26</v>
      </c>
      <c r="M197" t="s">
        <v>26</v>
      </c>
      <c r="N197" t="s">
        <v>26</v>
      </c>
      <c r="O197" t="s">
        <v>26</v>
      </c>
      <c r="P197" t="s">
        <v>27</v>
      </c>
      <c r="Q197" t="s">
        <v>28</v>
      </c>
      <c r="R197" s="7">
        <v>45877</v>
      </c>
      <c r="S197">
        <v>4.9000000000000004</v>
      </c>
      <c r="T197">
        <v>8</v>
      </c>
      <c r="U197" t="s">
        <v>29</v>
      </c>
    </row>
    <row r="198" spans="1:21" x14ac:dyDescent="0.3">
      <c r="A198" t="s">
        <v>258</v>
      </c>
      <c r="B198" t="s">
        <v>67</v>
      </c>
      <c r="C198" t="s">
        <v>47</v>
      </c>
      <c r="D198">
        <v>6.8</v>
      </c>
      <c r="E198" t="s">
        <v>48</v>
      </c>
      <c r="F198" t="s">
        <v>34</v>
      </c>
      <c r="G198">
        <v>4550</v>
      </c>
      <c r="H198">
        <v>31</v>
      </c>
      <c r="I198">
        <v>124</v>
      </c>
      <c r="J198">
        <v>101</v>
      </c>
      <c r="K198">
        <v>81.5</v>
      </c>
      <c r="L198" t="s">
        <v>27</v>
      </c>
      <c r="M198" t="s">
        <v>26</v>
      </c>
      <c r="N198" t="s">
        <v>27</v>
      </c>
      <c r="O198" t="s">
        <v>26</v>
      </c>
      <c r="P198" t="s">
        <v>26</v>
      </c>
      <c r="Q198" t="s">
        <v>28</v>
      </c>
      <c r="R198" s="7">
        <v>45753</v>
      </c>
      <c r="S198">
        <v>3.5</v>
      </c>
      <c r="T198">
        <v>18</v>
      </c>
      <c r="U198" t="s">
        <v>29</v>
      </c>
    </row>
    <row r="199" spans="1:21" x14ac:dyDescent="0.3">
      <c r="A199" t="s">
        <v>259</v>
      </c>
      <c r="B199" t="s">
        <v>40</v>
      </c>
      <c r="C199" t="s">
        <v>41</v>
      </c>
      <c r="D199">
        <v>2.1</v>
      </c>
      <c r="E199" t="s">
        <v>33</v>
      </c>
      <c r="F199" t="s">
        <v>25</v>
      </c>
      <c r="G199">
        <v>5500</v>
      </c>
      <c r="H199">
        <v>33</v>
      </c>
      <c r="I199">
        <v>99</v>
      </c>
      <c r="J199">
        <v>75</v>
      </c>
      <c r="K199">
        <v>75.8</v>
      </c>
      <c r="L199" t="s">
        <v>26</v>
      </c>
      <c r="M199" t="s">
        <v>26</v>
      </c>
      <c r="N199" t="s">
        <v>26</v>
      </c>
      <c r="O199" t="s">
        <v>27</v>
      </c>
      <c r="P199" t="s">
        <v>26</v>
      </c>
      <c r="Q199" t="s">
        <v>28</v>
      </c>
      <c r="R199" s="7">
        <v>45992</v>
      </c>
      <c r="S199">
        <v>3.8</v>
      </c>
      <c r="T199">
        <v>4</v>
      </c>
      <c r="U199" t="s">
        <v>29</v>
      </c>
    </row>
    <row r="200" spans="1:21" x14ac:dyDescent="0.3">
      <c r="A200" t="s">
        <v>260</v>
      </c>
      <c r="B200" t="s">
        <v>22</v>
      </c>
      <c r="C200" t="s">
        <v>44</v>
      </c>
      <c r="D200">
        <v>1</v>
      </c>
      <c r="E200" t="s">
        <v>48</v>
      </c>
      <c r="F200" t="s">
        <v>25</v>
      </c>
      <c r="G200">
        <v>3550</v>
      </c>
      <c r="H200">
        <v>28</v>
      </c>
      <c r="I200">
        <v>112</v>
      </c>
      <c r="J200">
        <v>91</v>
      </c>
      <c r="K200">
        <v>81.2</v>
      </c>
      <c r="L200" t="s">
        <v>26</v>
      </c>
      <c r="M200" t="s">
        <v>27</v>
      </c>
      <c r="N200" t="s">
        <v>26</v>
      </c>
      <c r="O200" t="s">
        <v>26</v>
      </c>
      <c r="P200" t="s">
        <v>26</v>
      </c>
      <c r="Q200" t="s">
        <v>28</v>
      </c>
      <c r="R200" s="7">
        <v>45790</v>
      </c>
      <c r="S200">
        <v>4.0999999999999996</v>
      </c>
      <c r="T200">
        <v>8</v>
      </c>
      <c r="U200" t="s">
        <v>29</v>
      </c>
    </row>
    <row r="201" spans="1:21" x14ac:dyDescent="0.3">
      <c r="A201" t="s">
        <v>261</v>
      </c>
      <c r="B201" t="s">
        <v>58</v>
      </c>
      <c r="C201" t="s">
        <v>23</v>
      </c>
      <c r="D201">
        <v>1.8</v>
      </c>
      <c r="E201" t="s">
        <v>33</v>
      </c>
      <c r="F201" t="s">
        <v>34</v>
      </c>
      <c r="G201">
        <v>3000</v>
      </c>
      <c r="H201">
        <v>13</v>
      </c>
      <c r="I201">
        <v>39</v>
      </c>
      <c r="J201">
        <v>35</v>
      </c>
      <c r="K201">
        <v>89.7</v>
      </c>
      <c r="L201" t="s">
        <v>26</v>
      </c>
      <c r="M201" t="s">
        <v>26</v>
      </c>
      <c r="N201" t="s">
        <v>27</v>
      </c>
      <c r="O201" t="s">
        <v>26</v>
      </c>
      <c r="P201" t="s">
        <v>27</v>
      </c>
      <c r="Q201" t="s">
        <v>28</v>
      </c>
      <c r="R201" s="7">
        <v>45921</v>
      </c>
      <c r="S201">
        <v>3.8</v>
      </c>
      <c r="T201">
        <v>8</v>
      </c>
      <c r="U201" t="s">
        <v>29</v>
      </c>
    </row>
    <row r="202" spans="1:21" x14ac:dyDescent="0.3">
      <c r="A202" t="s">
        <v>262</v>
      </c>
      <c r="B202" t="s">
        <v>56</v>
      </c>
      <c r="C202" t="s">
        <v>32</v>
      </c>
      <c r="D202">
        <v>6.4</v>
      </c>
      <c r="E202" t="s">
        <v>24</v>
      </c>
      <c r="F202" t="s">
        <v>25</v>
      </c>
      <c r="G202">
        <v>4250</v>
      </c>
      <c r="H202">
        <v>37</v>
      </c>
      <c r="I202">
        <v>74</v>
      </c>
      <c r="J202">
        <v>31</v>
      </c>
      <c r="K202">
        <v>41.9</v>
      </c>
      <c r="L202" t="s">
        <v>26</v>
      </c>
      <c r="M202" t="s">
        <v>26</v>
      </c>
      <c r="N202" t="s">
        <v>26</v>
      </c>
      <c r="O202" t="s">
        <v>26</v>
      </c>
      <c r="P202" t="s">
        <v>26</v>
      </c>
      <c r="Q202" t="s">
        <v>35</v>
      </c>
      <c r="R202" s="7">
        <v>45810</v>
      </c>
      <c r="S202">
        <v>4.2</v>
      </c>
      <c r="T202">
        <v>6</v>
      </c>
      <c r="U202" t="s">
        <v>29</v>
      </c>
    </row>
    <row r="203" spans="1:21" x14ac:dyDescent="0.3">
      <c r="A203" t="s">
        <v>263</v>
      </c>
      <c r="B203" t="s">
        <v>43</v>
      </c>
      <c r="C203" t="s">
        <v>41</v>
      </c>
      <c r="D203">
        <v>6.9</v>
      </c>
      <c r="E203" t="s">
        <v>54</v>
      </c>
      <c r="F203" t="s">
        <v>34</v>
      </c>
      <c r="G203">
        <v>5500</v>
      </c>
      <c r="H203">
        <v>12</v>
      </c>
      <c r="I203">
        <v>12</v>
      </c>
      <c r="J203">
        <v>7</v>
      </c>
      <c r="K203">
        <v>58.3</v>
      </c>
      <c r="L203" t="s">
        <v>26</v>
      </c>
      <c r="M203" t="s">
        <v>26</v>
      </c>
      <c r="N203" t="s">
        <v>26</v>
      </c>
      <c r="O203" t="s">
        <v>26</v>
      </c>
      <c r="P203" t="s">
        <v>26</v>
      </c>
      <c r="Q203" t="s">
        <v>35</v>
      </c>
      <c r="R203" s="7">
        <v>46121</v>
      </c>
      <c r="S203">
        <v>3.5</v>
      </c>
      <c r="T203">
        <v>14</v>
      </c>
      <c r="U203" t="s">
        <v>29</v>
      </c>
    </row>
    <row r="204" spans="1:21" x14ac:dyDescent="0.3">
      <c r="A204" t="s">
        <v>264</v>
      </c>
      <c r="B204" t="s">
        <v>70</v>
      </c>
      <c r="C204" t="s">
        <v>32</v>
      </c>
      <c r="D204">
        <v>6.2</v>
      </c>
      <c r="E204" t="s">
        <v>48</v>
      </c>
      <c r="F204" t="s">
        <v>25</v>
      </c>
      <c r="G204">
        <v>3550</v>
      </c>
      <c r="H204">
        <v>9</v>
      </c>
      <c r="I204">
        <v>36</v>
      </c>
      <c r="J204">
        <v>24</v>
      </c>
      <c r="K204">
        <v>66.7</v>
      </c>
      <c r="L204" t="s">
        <v>26</v>
      </c>
      <c r="M204" t="s">
        <v>26</v>
      </c>
      <c r="N204" t="s">
        <v>26</v>
      </c>
      <c r="O204" t="s">
        <v>26</v>
      </c>
      <c r="P204" t="s">
        <v>26</v>
      </c>
      <c r="Q204" t="s">
        <v>35</v>
      </c>
      <c r="R204" s="7">
        <v>46103</v>
      </c>
      <c r="S204">
        <v>3.7</v>
      </c>
      <c r="T204">
        <v>8</v>
      </c>
      <c r="U204" t="s">
        <v>29</v>
      </c>
    </row>
    <row r="205" spans="1:21" x14ac:dyDescent="0.3">
      <c r="A205" t="s">
        <v>265</v>
      </c>
      <c r="B205" t="s">
        <v>60</v>
      </c>
      <c r="C205" t="s">
        <v>47</v>
      </c>
      <c r="D205">
        <v>4.9000000000000004</v>
      </c>
      <c r="E205" t="s">
        <v>48</v>
      </c>
      <c r="F205" t="s">
        <v>25</v>
      </c>
      <c r="G205">
        <v>3300</v>
      </c>
      <c r="H205">
        <v>43</v>
      </c>
      <c r="I205">
        <v>172</v>
      </c>
      <c r="J205">
        <v>121</v>
      </c>
      <c r="K205">
        <v>70.3</v>
      </c>
      <c r="L205" t="s">
        <v>26</v>
      </c>
      <c r="M205" t="s">
        <v>27</v>
      </c>
      <c r="N205" t="s">
        <v>26</v>
      </c>
      <c r="O205" t="s">
        <v>26</v>
      </c>
      <c r="P205" t="s">
        <v>26</v>
      </c>
      <c r="Q205" t="s">
        <v>28</v>
      </c>
      <c r="R205" s="7">
        <v>45729</v>
      </c>
      <c r="S205">
        <v>4.0999999999999996</v>
      </c>
      <c r="T205">
        <v>6</v>
      </c>
      <c r="U205" t="s">
        <v>29</v>
      </c>
    </row>
    <row r="206" spans="1:21" x14ac:dyDescent="0.3">
      <c r="A206" t="s">
        <v>266</v>
      </c>
      <c r="B206" t="s">
        <v>53</v>
      </c>
      <c r="C206" t="s">
        <v>47</v>
      </c>
      <c r="D206">
        <v>4.8</v>
      </c>
      <c r="E206" t="s">
        <v>54</v>
      </c>
      <c r="F206" t="s">
        <v>34</v>
      </c>
      <c r="G206">
        <v>8500</v>
      </c>
      <c r="H206">
        <v>30</v>
      </c>
      <c r="I206">
        <v>30</v>
      </c>
      <c r="J206">
        <v>25</v>
      </c>
      <c r="K206">
        <v>83.3</v>
      </c>
      <c r="L206" t="s">
        <v>26</v>
      </c>
      <c r="M206" t="s">
        <v>27</v>
      </c>
      <c r="N206" t="s">
        <v>27</v>
      </c>
      <c r="O206" t="s">
        <v>27</v>
      </c>
      <c r="P206" t="s">
        <v>26</v>
      </c>
      <c r="Q206" t="s">
        <v>65</v>
      </c>
      <c r="R206" s="7">
        <v>46224</v>
      </c>
      <c r="S206">
        <v>4.2</v>
      </c>
      <c r="T206">
        <v>8</v>
      </c>
      <c r="U206" t="s">
        <v>29</v>
      </c>
    </row>
    <row r="207" spans="1:21" x14ac:dyDescent="0.3">
      <c r="A207" t="s">
        <v>267</v>
      </c>
      <c r="B207" t="s">
        <v>56</v>
      </c>
      <c r="C207" t="s">
        <v>41</v>
      </c>
      <c r="D207">
        <v>0.6</v>
      </c>
      <c r="E207" t="s">
        <v>48</v>
      </c>
      <c r="F207" t="s">
        <v>25</v>
      </c>
      <c r="G207">
        <v>3800</v>
      </c>
      <c r="H207">
        <v>30</v>
      </c>
      <c r="I207">
        <v>120</v>
      </c>
      <c r="J207">
        <v>116</v>
      </c>
      <c r="K207">
        <v>96.7</v>
      </c>
      <c r="L207" t="s">
        <v>26</v>
      </c>
      <c r="M207" t="s">
        <v>26</v>
      </c>
      <c r="N207" t="s">
        <v>26</v>
      </c>
      <c r="O207" t="s">
        <v>26</v>
      </c>
      <c r="P207" t="s">
        <v>26</v>
      </c>
      <c r="Q207" t="s">
        <v>35</v>
      </c>
      <c r="R207" s="7">
        <v>45905</v>
      </c>
      <c r="S207">
        <v>4.4000000000000004</v>
      </c>
      <c r="T207">
        <v>17</v>
      </c>
      <c r="U207" t="s">
        <v>29</v>
      </c>
    </row>
    <row r="208" spans="1:21" x14ac:dyDescent="0.3">
      <c r="A208" t="s">
        <v>268</v>
      </c>
      <c r="B208" t="s">
        <v>67</v>
      </c>
      <c r="C208" t="s">
        <v>47</v>
      </c>
      <c r="D208">
        <v>4.4000000000000004</v>
      </c>
      <c r="E208" t="s">
        <v>48</v>
      </c>
      <c r="F208" t="s">
        <v>34</v>
      </c>
      <c r="G208">
        <v>3050</v>
      </c>
      <c r="H208">
        <v>19</v>
      </c>
      <c r="I208">
        <v>76</v>
      </c>
      <c r="J208">
        <v>37</v>
      </c>
      <c r="K208">
        <v>48.7</v>
      </c>
      <c r="L208" t="s">
        <v>26</v>
      </c>
      <c r="M208" t="s">
        <v>26</v>
      </c>
      <c r="N208" t="s">
        <v>27</v>
      </c>
      <c r="O208" t="s">
        <v>26</v>
      </c>
      <c r="P208" t="s">
        <v>26</v>
      </c>
      <c r="Q208" t="s">
        <v>28</v>
      </c>
      <c r="R208" s="7">
        <v>45909</v>
      </c>
      <c r="S208">
        <v>3.3</v>
      </c>
      <c r="T208">
        <v>18</v>
      </c>
      <c r="U208" t="s">
        <v>29</v>
      </c>
    </row>
    <row r="209" spans="1:21" x14ac:dyDescent="0.3">
      <c r="A209" t="s">
        <v>269</v>
      </c>
      <c r="B209" t="s">
        <v>150</v>
      </c>
      <c r="C209" t="s">
        <v>41</v>
      </c>
      <c r="D209">
        <v>1.5</v>
      </c>
      <c r="E209" t="s">
        <v>54</v>
      </c>
      <c r="F209" t="s">
        <v>49</v>
      </c>
      <c r="G209">
        <v>6000</v>
      </c>
      <c r="H209">
        <v>11</v>
      </c>
      <c r="I209">
        <v>11</v>
      </c>
      <c r="J209">
        <v>6</v>
      </c>
      <c r="K209">
        <v>54.5</v>
      </c>
      <c r="L209" t="s">
        <v>26</v>
      </c>
      <c r="M209" t="s">
        <v>26</v>
      </c>
      <c r="N209" t="s">
        <v>26</v>
      </c>
      <c r="O209" t="s">
        <v>26</v>
      </c>
      <c r="P209" t="s">
        <v>27</v>
      </c>
      <c r="Q209" t="s">
        <v>28</v>
      </c>
      <c r="R209" s="7">
        <v>45891</v>
      </c>
      <c r="S209">
        <v>3.7</v>
      </c>
      <c r="T209">
        <v>4</v>
      </c>
      <c r="U209" t="s">
        <v>29</v>
      </c>
    </row>
    <row r="210" spans="1:21" x14ac:dyDescent="0.3">
      <c r="A210" t="s">
        <v>270</v>
      </c>
      <c r="B210" t="s">
        <v>70</v>
      </c>
      <c r="C210" t="s">
        <v>81</v>
      </c>
      <c r="D210">
        <v>0.6</v>
      </c>
      <c r="E210" t="s">
        <v>24</v>
      </c>
      <c r="F210" t="s">
        <v>34</v>
      </c>
      <c r="G210">
        <v>4500</v>
      </c>
      <c r="H210">
        <v>15</v>
      </c>
      <c r="I210">
        <v>30</v>
      </c>
      <c r="J210">
        <v>26</v>
      </c>
      <c r="K210">
        <v>86.7</v>
      </c>
      <c r="L210" t="s">
        <v>27</v>
      </c>
      <c r="M210" t="s">
        <v>26</v>
      </c>
      <c r="N210" t="s">
        <v>27</v>
      </c>
      <c r="O210" t="s">
        <v>26</v>
      </c>
      <c r="P210" t="s">
        <v>26</v>
      </c>
      <c r="Q210" t="s">
        <v>28</v>
      </c>
      <c r="R210" s="7">
        <v>46040</v>
      </c>
      <c r="S210">
        <v>3.9</v>
      </c>
      <c r="T210">
        <v>10</v>
      </c>
      <c r="U210" t="s">
        <v>29</v>
      </c>
    </row>
    <row r="211" spans="1:21" x14ac:dyDescent="0.3">
      <c r="A211" t="s">
        <v>271</v>
      </c>
      <c r="B211" t="s">
        <v>83</v>
      </c>
      <c r="C211" t="s">
        <v>64</v>
      </c>
      <c r="D211">
        <v>4.9000000000000004</v>
      </c>
      <c r="E211" t="s">
        <v>24</v>
      </c>
      <c r="F211" t="s">
        <v>25</v>
      </c>
      <c r="G211">
        <v>6250</v>
      </c>
      <c r="H211">
        <v>22</v>
      </c>
      <c r="I211">
        <v>44</v>
      </c>
      <c r="J211">
        <v>36</v>
      </c>
      <c r="K211">
        <v>81.8</v>
      </c>
      <c r="L211" t="s">
        <v>26</v>
      </c>
      <c r="M211" t="s">
        <v>26</v>
      </c>
      <c r="N211" t="s">
        <v>27</v>
      </c>
      <c r="O211" t="s">
        <v>27</v>
      </c>
      <c r="P211" t="s">
        <v>26</v>
      </c>
      <c r="Q211" t="s">
        <v>28</v>
      </c>
      <c r="R211" s="7">
        <v>45846</v>
      </c>
      <c r="S211">
        <v>4.3</v>
      </c>
      <c r="T211">
        <v>5</v>
      </c>
      <c r="U211" t="s">
        <v>29</v>
      </c>
    </row>
    <row r="212" spans="1:21" x14ac:dyDescent="0.3">
      <c r="A212" t="s">
        <v>272</v>
      </c>
      <c r="B212" t="s">
        <v>56</v>
      </c>
      <c r="C212" t="s">
        <v>32</v>
      </c>
      <c r="D212">
        <v>6.4</v>
      </c>
      <c r="E212" t="s">
        <v>54</v>
      </c>
      <c r="F212" t="s">
        <v>25</v>
      </c>
      <c r="G212">
        <v>6750</v>
      </c>
      <c r="H212">
        <v>28</v>
      </c>
      <c r="I212">
        <v>28</v>
      </c>
      <c r="J212">
        <v>28</v>
      </c>
      <c r="K212">
        <v>100</v>
      </c>
      <c r="L212" t="s">
        <v>26</v>
      </c>
      <c r="M212" t="s">
        <v>26</v>
      </c>
      <c r="N212" t="s">
        <v>26</v>
      </c>
      <c r="O212" t="s">
        <v>26</v>
      </c>
      <c r="P212" t="s">
        <v>27</v>
      </c>
      <c r="Q212" t="s">
        <v>28</v>
      </c>
      <c r="R212" s="7">
        <v>45893</v>
      </c>
      <c r="S212">
        <v>3.7</v>
      </c>
      <c r="T212">
        <v>7</v>
      </c>
      <c r="U212" t="s">
        <v>29</v>
      </c>
    </row>
    <row r="213" spans="1:21" x14ac:dyDescent="0.3">
      <c r="A213" t="s">
        <v>273</v>
      </c>
      <c r="B213" t="s">
        <v>43</v>
      </c>
      <c r="C213" t="s">
        <v>81</v>
      </c>
      <c r="D213">
        <v>3.5</v>
      </c>
      <c r="E213" t="s">
        <v>33</v>
      </c>
      <c r="F213" t="s">
        <v>49</v>
      </c>
      <c r="G213">
        <v>3250</v>
      </c>
      <c r="H213">
        <v>23</v>
      </c>
      <c r="I213">
        <v>69</v>
      </c>
      <c r="J213">
        <v>68</v>
      </c>
      <c r="K213">
        <v>98.6</v>
      </c>
      <c r="L213" t="s">
        <v>26</v>
      </c>
      <c r="M213" t="s">
        <v>26</v>
      </c>
      <c r="N213" t="s">
        <v>26</v>
      </c>
      <c r="O213" t="s">
        <v>26</v>
      </c>
      <c r="P213" t="s">
        <v>26</v>
      </c>
      <c r="Q213" t="s">
        <v>35</v>
      </c>
      <c r="R213" s="7">
        <v>45736</v>
      </c>
      <c r="S213">
        <v>4.4000000000000004</v>
      </c>
      <c r="T213">
        <v>12</v>
      </c>
      <c r="U213" t="s">
        <v>29</v>
      </c>
    </row>
    <row r="214" spans="1:21" x14ac:dyDescent="0.3">
      <c r="A214" t="s">
        <v>274</v>
      </c>
      <c r="B214" t="s">
        <v>83</v>
      </c>
      <c r="C214" t="s">
        <v>44</v>
      </c>
      <c r="D214">
        <v>6.7</v>
      </c>
      <c r="E214" t="s">
        <v>48</v>
      </c>
      <c r="F214" t="s">
        <v>49</v>
      </c>
      <c r="G214">
        <v>3300</v>
      </c>
      <c r="H214">
        <v>30</v>
      </c>
      <c r="I214">
        <v>120</v>
      </c>
      <c r="J214">
        <v>111</v>
      </c>
      <c r="K214">
        <v>92.5</v>
      </c>
      <c r="L214" t="s">
        <v>26</v>
      </c>
      <c r="M214" t="s">
        <v>26</v>
      </c>
      <c r="N214" t="s">
        <v>27</v>
      </c>
      <c r="O214" t="s">
        <v>26</v>
      </c>
      <c r="P214" t="s">
        <v>27</v>
      </c>
      <c r="Q214" t="s">
        <v>28</v>
      </c>
      <c r="R214" s="7">
        <v>46051</v>
      </c>
      <c r="S214">
        <v>5</v>
      </c>
      <c r="T214">
        <v>14</v>
      </c>
      <c r="U214" t="s">
        <v>29</v>
      </c>
    </row>
    <row r="215" spans="1:21" x14ac:dyDescent="0.3">
      <c r="A215" t="s">
        <v>275</v>
      </c>
      <c r="B215" t="s">
        <v>56</v>
      </c>
      <c r="C215" t="s">
        <v>81</v>
      </c>
      <c r="D215">
        <v>2.1</v>
      </c>
      <c r="E215" t="s">
        <v>54</v>
      </c>
      <c r="F215" t="s">
        <v>25</v>
      </c>
      <c r="G215">
        <v>6000</v>
      </c>
      <c r="H215">
        <v>29</v>
      </c>
      <c r="I215">
        <v>29</v>
      </c>
      <c r="J215">
        <v>15</v>
      </c>
      <c r="K215">
        <v>51.7</v>
      </c>
      <c r="L215" t="s">
        <v>26</v>
      </c>
      <c r="M215" t="s">
        <v>26</v>
      </c>
      <c r="N215" t="s">
        <v>27</v>
      </c>
      <c r="O215" t="s">
        <v>26</v>
      </c>
      <c r="P215" t="s">
        <v>26</v>
      </c>
      <c r="Q215" t="s">
        <v>28</v>
      </c>
      <c r="R215" s="7">
        <v>46051</v>
      </c>
      <c r="S215">
        <v>4.5</v>
      </c>
      <c r="T215">
        <v>15</v>
      </c>
      <c r="U215" t="s">
        <v>29</v>
      </c>
    </row>
    <row r="216" spans="1:21" x14ac:dyDescent="0.3">
      <c r="A216" t="s">
        <v>276</v>
      </c>
      <c r="B216" t="s">
        <v>56</v>
      </c>
      <c r="C216" t="s">
        <v>32</v>
      </c>
      <c r="D216">
        <v>7.1</v>
      </c>
      <c r="E216" t="s">
        <v>24</v>
      </c>
      <c r="F216" t="s">
        <v>49</v>
      </c>
      <c r="G216">
        <v>6750</v>
      </c>
      <c r="H216">
        <v>18</v>
      </c>
      <c r="I216">
        <v>36</v>
      </c>
      <c r="J216">
        <v>13</v>
      </c>
      <c r="K216">
        <v>36.1</v>
      </c>
      <c r="L216" t="s">
        <v>27</v>
      </c>
      <c r="M216" t="s">
        <v>26</v>
      </c>
      <c r="N216" t="s">
        <v>26</v>
      </c>
      <c r="O216" t="s">
        <v>26</v>
      </c>
      <c r="P216" t="s">
        <v>26</v>
      </c>
      <c r="Q216" t="s">
        <v>28</v>
      </c>
      <c r="R216" s="7">
        <v>45770</v>
      </c>
      <c r="S216">
        <v>3.9</v>
      </c>
      <c r="T216">
        <v>9</v>
      </c>
      <c r="U216" t="s">
        <v>29</v>
      </c>
    </row>
    <row r="217" spans="1:21" x14ac:dyDescent="0.3">
      <c r="A217" t="s">
        <v>277</v>
      </c>
      <c r="B217" t="s">
        <v>62</v>
      </c>
      <c r="C217" t="s">
        <v>64</v>
      </c>
      <c r="D217">
        <v>1.3</v>
      </c>
      <c r="E217" t="s">
        <v>33</v>
      </c>
      <c r="F217" t="s">
        <v>25</v>
      </c>
      <c r="G217">
        <v>2500</v>
      </c>
      <c r="H217">
        <v>35</v>
      </c>
      <c r="I217">
        <v>105</v>
      </c>
      <c r="J217">
        <v>47</v>
      </c>
      <c r="K217">
        <v>44.8</v>
      </c>
      <c r="L217" t="s">
        <v>26</v>
      </c>
      <c r="M217" t="s">
        <v>26</v>
      </c>
      <c r="N217" t="s">
        <v>26</v>
      </c>
      <c r="O217" t="s">
        <v>27</v>
      </c>
      <c r="P217" t="s">
        <v>26</v>
      </c>
      <c r="Q217" t="s">
        <v>28</v>
      </c>
      <c r="R217" s="7">
        <v>45968</v>
      </c>
      <c r="S217">
        <v>4.2</v>
      </c>
      <c r="T217">
        <v>5</v>
      </c>
      <c r="U217" t="s">
        <v>29</v>
      </c>
    </row>
    <row r="218" spans="1:21" x14ac:dyDescent="0.3">
      <c r="A218" t="s">
        <v>278</v>
      </c>
      <c r="B218" t="s">
        <v>58</v>
      </c>
      <c r="C218" t="s">
        <v>38</v>
      </c>
      <c r="D218">
        <v>3.7</v>
      </c>
      <c r="E218" t="s">
        <v>54</v>
      </c>
      <c r="F218" t="s">
        <v>49</v>
      </c>
      <c r="G218">
        <v>7750</v>
      </c>
      <c r="H218">
        <v>33</v>
      </c>
      <c r="I218">
        <v>33</v>
      </c>
      <c r="J218">
        <v>26</v>
      </c>
      <c r="K218">
        <v>78.8</v>
      </c>
      <c r="L218" t="s">
        <v>27</v>
      </c>
      <c r="M218" t="s">
        <v>26</v>
      </c>
      <c r="N218" t="s">
        <v>27</v>
      </c>
      <c r="O218" t="s">
        <v>26</v>
      </c>
      <c r="P218" t="s">
        <v>26</v>
      </c>
      <c r="Q218" t="s">
        <v>28</v>
      </c>
      <c r="R218" s="7">
        <v>46167</v>
      </c>
      <c r="S218">
        <v>4.4000000000000004</v>
      </c>
      <c r="T218">
        <v>11</v>
      </c>
      <c r="U218" t="s">
        <v>29</v>
      </c>
    </row>
    <row r="219" spans="1:21" x14ac:dyDescent="0.3">
      <c r="A219" t="s">
        <v>279</v>
      </c>
      <c r="B219" t="s">
        <v>67</v>
      </c>
      <c r="C219" t="s">
        <v>41</v>
      </c>
      <c r="D219">
        <v>3.4</v>
      </c>
      <c r="E219" t="s">
        <v>33</v>
      </c>
      <c r="F219" t="s">
        <v>34</v>
      </c>
      <c r="G219">
        <v>3250</v>
      </c>
      <c r="H219">
        <v>25</v>
      </c>
      <c r="I219">
        <v>75</v>
      </c>
      <c r="J219">
        <v>62</v>
      </c>
      <c r="K219">
        <v>82.7</v>
      </c>
      <c r="L219" t="s">
        <v>26</v>
      </c>
      <c r="M219" t="s">
        <v>27</v>
      </c>
      <c r="N219" t="s">
        <v>26</v>
      </c>
      <c r="O219" t="s">
        <v>26</v>
      </c>
      <c r="P219" t="s">
        <v>26</v>
      </c>
      <c r="Q219" t="s">
        <v>28</v>
      </c>
      <c r="R219" s="7">
        <v>45730</v>
      </c>
      <c r="S219">
        <v>3.7</v>
      </c>
      <c r="T219">
        <v>18</v>
      </c>
      <c r="U219" t="s">
        <v>29</v>
      </c>
    </row>
    <row r="220" spans="1:21" x14ac:dyDescent="0.3">
      <c r="A220" t="s">
        <v>280</v>
      </c>
      <c r="B220" t="s">
        <v>72</v>
      </c>
      <c r="C220" t="s">
        <v>23</v>
      </c>
      <c r="D220">
        <v>6.3</v>
      </c>
      <c r="E220" t="s">
        <v>48</v>
      </c>
      <c r="F220" t="s">
        <v>25</v>
      </c>
      <c r="G220">
        <v>3800</v>
      </c>
      <c r="H220">
        <v>38</v>
      </c>
      <c r="I220">
        <v>152</v>
      </c>
      <c r="J220">
        <v>126</v>
      </c>
      <c r="K220">
        <v>82.9</v>
      </c>
      <c r="L220" t="s">
        <v>27</v>
      </c>
      <c r="M220" t="s">
        <v>26</v>
      </c>
      <c r="N220" t="s">
        <v>26</v>
      </c>
      <c r="O220" t="s">
        <v>27</v>
      </c>
      <c r="P220" t="s">
        <v>26</v>
      </c>
      <c r="Q220" t="s">
        <v>28</v>
      </c>
      <c r="R220" s="7">
        <v>45908</v>
      </c>
      <c r="S220">
        <v>3.4</v>
      </c>
      <c r="T220">
        <v>16</v>
      </c>
      <c r="U220" t="s">
        <v>29</v>
      </c>
    </row>
    <row r="221" spans="1:21" x14ac:dyDescent="0.3">
      <c r="A221" t="s">
        <v>281</v>
      </c>
      <c r="B221" t="s">
        <v>60</v>
      </c>
      <c r="C221" t="s">
        <v>44</v>
      </c>
      <c r="D221">
        <v>1.1000000000000001</v>
      </c>
      <c r="E221" t="s">
        <v>48</v>
      </c>
      <c r="F221" t="s">
        <v>25</v>
      </c>
      <c r="G221">
        <v>2300</v>
      </c>
      <c r="H221">
        <v>18</v>
      </c>
      <c r="I221">
        <v>72</v>
      </c>
      <c r="J221">
        <v>38</v>
      </c>
      <c r="K221">
        <v>52.8</v>
      </c>
      <c r="L221" t="s">
        <v>26</v>
      </c>
      <c r="M221" t="s">
        <v>27</v>
      </c>
      <c r="N221" t="s">
        <v>26</v>
      </c>
      <c r="O221" t="s">
        <v>26</v>
      </c>
      <c r="P221" t="s">
        <v>26</v>
      </c>
      <c r="Q221" t="s">
        <v>28</v>
      </c>
      <c r="R221" s="7">
        <v>45864</v>
      </c>
      <c r="S221">
        <v>3.7</v>
      </c>
      <c r="T221">
        <v>6</v>
      </c>
      <c r="U221" t="s">
        <v>29</v>
      </c>
    </row>
    <row r="222" spans="1:21" x14ac:dyDescent="0.3">
      <c r="A222" t="s">
        <v>282</v>
      </c>
      <c r="B222" t="s">
        <v>75</v>
      </c>
      <c r="C222" t="s">
        <v>41</v>
      </c>
      <c r="D222">
        <v>2.5</v>
      </c>
      <c r="E222" t="s">
        <v>54</v>
      </c>
      <c r="F222" t="s">
        <v>49</v>
      </c>
      <c r="G222">
        <v>6000</v>
      </c>
      <c r="H222">
        <v>32</v>
      </c>
      <c r="I222">
        <v>32</v>
      </c>
      <c r="J222">
        <v>28</v>
      </c>
      <c r="K222">
        <v>87.5</v>
      </c>
      <c r="L222" t="s">
        <v>27</v>
      </c>
      <c r="M222" t="s">
        <v>26</v>
      </c>
      <c r="N222" t="s">
        <v>27</v>
      </c>
      <c r="O222" t="s">
        <v>26</v>
      </c>
      <c r="P222" t="s">
        <v>26</v>
      </c>
      <c r="Q222" t="s">
        <v>28</v>
      </c>
      <c r="R222" s="7">
        <v>46073</v>
      </c>
      <c r="S222">
        <v>3.4</v>
      </c>
      <c r="T222">
        <v>18</v>
      </c>
      <c r="U222" t="s">
        <v>29</v>
      </c>
    </row>
    <row r="223" spans="1:21" x14ac:dyDescent="0.3">
      <c r="A223" t="s">
        <v>283</v>
      </c>
      <c r="B223" t="s">
        <v>75</v>
      </c>
      <c r="C223" t="s">
        <v>44</v>
      </c>
      <c r="D223">
        <v>4.3</v>
      </c>
      <c r="E223" t="s">
        <v>54</v>
      </c>
      <c r="F223" t="s">
        <v>25</v>
      </c>
      <c r="G223">
        <v>6250</v>
      </c>
      <c r="H223">
        <v>44</v>
      </c>
      <c r="I223">
        <v>44</v>
      </c>
      <c r="J223">
        <v>39</v>
      </c>
      <c r="K223">
        <v>88.6</v>
      </c>
      <c r="L223" t="s">
        <v>26</v>
      </c>
      <c r="M223" t="s">
        <v>27</v>
      </c>
      <c r="N223" t="s">
        <v>26</v>
      </c>
      <c r="O223" t="s">
        <v>26</v>
      </c>
      <c r="P223" t="s">
        <v>26</v>
      </c>
      <c r="Q223" t="s">
        <v>28</v>
      </c>
      <c r="R223" s="7">
        <v>45770</v>
      </c>
      <c r="S223">
        <v>3.9</v>
      </c>
      <c r="T223">
        <v>15</v>
      </c>
      <c r="U223" t="s">
        <v>29</v>
      </c>
    </row>
    <row r="224" spans="1:21" x14ac:dyDescent="0.3">
      <c r="A224" t="s">
        <v>284</v>
      </c>
      <c r="B224" t="s">
        <v>60</v>
      </c>
      <c r="C224" t="s">
        <v>64</v>
      </c>
      <c r="D224">
        <v>0.5</v>
      </c>
      <c r="E224" t="s">
        <v>33</v>
      </c>
      <c r="F224" t="s">
        <v>34</v>
      </c>
      <c r="G224">
        <v>4000</v>
      </c>
      <c r="H224">
        <v>17</v>
      </c>
      <c r="I224">
        <v>51</v>
      </c>
      <c r="J224">
        <v>42</v>
      </c>
      <c r="K224">
        <v>82.4</v>
      </c>
      <c r="L224" t="s">
        <v>26</v>
      </c>
      <c r="M224" t="s">
        <v>26</v>
      </c>
      <c r="N224" t="s">
        <v>27</v>
      </c>
      <c r="O224" t="s">
        <v>27</v>
      </c>
      <c r="P224" t="s">
        <v>26</v>
      </c>
      <c r="Q224" t="s">
        <v>28</v>
      </c>
      <c r="R224" s="7">
        <v>45706</v>
      </c>
      <c r="S224">
        <v>5</v>
      </c>
      <c r="T224">
        <v>15</v>
      </c>
      <c r="U224" t="s">
        <v>29</v>
      </c>
    </row>
    <row r="225" spans="1:21" x14ac:dyDescent="0.3">
      <c r="A225" t="s">
        <v>285</v>
      </c>
      <c r="B225" t="s">
        <v>46</v>
      </c>
      <c r="C225" t="s">
        <v>41</v>
      </c>
      <c r="D225">
        <v>2.5</v>
      </c>
      <c r="E225" t="s">
        <v>48</v>
      </c>
      <c r="F225" t="s">
        <v>34</v>
      </c>
      <c r="G225">
        <v>4550</v>
      </c>
      <c r="H225">
        <v>14</v>
      </c>
      <c r="I225">
        <v>56</v>
      </c>
      <c r="J225">
        <v>33</v>
      </c>
      <c r="K225">
        <v>58.9</v>
      </c>
      <c r="L225" t="s">
        <v>26</v>
      </c>
      <c r="M225" t="s">
        <v>27</v>
      </c>
      <c r="N225" t="s">
        <v>26</v>
      </c>
      <c r="O225" t="s">
        <v>26</v>
      </c>
      <c r="P225" t="s">
        <v>27</v>
      </c>
      <c r="Q225" t="s">
        <v>28</v>
      </c>
      <c r="R225" s="7">
        <v>45804</v>
      </c>
      <c r="S225">
        <v>3.4</v>
      </c>
      <c r="T225">
        <v>2</v>
      </c>
      <c r="U225" t="s">
        <v>29</v>
      </c>
    </row>
    <row r="226" spans="1:21" x14ac:dyDescent="0.3">
      <c r="A226" t="s">
        <v>286</v>
      </c>
      <c r="B226" t="s">
        <v>85</v>
      </c>
      <c r="C226" t="s">
        <v>47</v>
      </c>
      <c r="D226">
        <v>6.9</v>
      </c>
      <c r="E226" t="s">
        <v>48</v>
      </c>
      <c r="F226" t="s">
        <v>25</v>
      </c>
      <c r="G226">
        <v>4550</v>
      </c>
      <c r="H226">
        <v>39</v>
      </c>
      <c r="I226">
        <v>156</v>
      </c>
      <c r="J226">
        <v>151</v>
      </c>
      <c r="K226">
        <v>96.8</v>
      </c>
      <c r="L226" t="s">
        <v>26</v>
      </c>
      <c r="M226" t="s">
        <v>26</v>
      </c>
      <c r="N226" t="s">
        <v>27</v>
      </c>
      <c r="O226" t="s">
        <v>26</v>
      </c>
      <c r="P226" t="s">
        <v>26</v>
      </c>
      <c r="Q226" t="s">
        <v>28</v>
      </c>
      <c r="R226" s="7">
        <v>46195</v>
      </c>
      <c r="S226">
        <v>3.9</v>
      </c>
      <c r="T226">
        <v>9</v>
      </c>
      <c r="U226" t="s">
        <v>29</v>
      </c>
    </row>
    <row r="227" spans="1:21" x14ac:dyDescent="0.3">
      <c r="A227" t="s">
        <v>287</v>
      </c>
      <c r="B227" t="s">
        <v>62</v>
      </c>
      <c r="C227" t="s">
        <v>23</v>
      </c>
      <c r="D227">
        <v>1.5</v>
      </c>
      <c r="E227" t="s">
        <v>24</v>
      </c>
      <c r="F227" t="s">
        <v>49</v>
      </c>
      <c r="G227">
        <v>3750</v>
      </c>
      <c r="H227">
        <v>23</v>
      </c>
      <c r="I227">
        <v>46</v>
      </c>
      <c r="J227">
        <v>17</v>
      </c>
      <c r="K227">
        <v>37</v>
      </c>
      <c r="L227" t="s">
        <v>26</v>
      </c>
      <c r="M227" t="s">
        <v>26</v>
      </c>
      <c r="N227" t="s">
        <v>27</v>
      </c>
      <c r="O227" t="s">
        <v>26</v>
      </c>
      <c r="P227" t="s">
        <v>26</v>
      </c>
      <c r="Q227" t="s">
        <v>28</v>
      </c>
      <c r="R227" s="7">
        <v>46134</v>
      </c>
      <c r="S227">
        <v>3.5</v>
      </c>
      <c r="T227">
        <v>11</v>
      </c>
      <c r="U227" t="s">
        <v>29</v>
      </c>
    </row>
    <row r="228" spans="1:21" x14ac:dyDescent="0.3">
      <c r="A228" t="s">
        <v>288</v>
      </c>
      <c r="B228" t="s">
        <v>53</v>
      </c>
      <c r="C228" t="s">
        <v>32</v>
      </c>
      <c r="D228">
        <v>4.8</v>
      </c>
      <c r="E228" t="s">
        <v>54</v>
      </c>
      <c r="F228" t="s">
        <v>25</v>
      </c>
      <c r="G228">
        <v>10750</v>
      </c>
      <c r="H228">
        <v>9</v>
      </c>
      <c r="I228">
        <v>9</v>
      </c>
      <c r="J228">
        <v>4</v>
      </c>
      <c r="K228">
        <v>44.4</v>
      </c>
      <c r="L228" t="s">
        <v>27</v>
      </c>
      <c r="M228" t="s">
        <v>26</v>
      </c>
      <c r="N228" t="s">
        <v>26</v>
      </c>
      <c r="O228" t="s">
        <v>27</v>
      </c>
      <c r="P228" t="s">
        <v>27</v>
      </c>
      <c r="Q228" t="s">
        <v>65</v>
      </c>
      <c r="R228" s="7">
        <v>46048</v>
      </c>
      <c r="S228">
        <v>4.5999999999999996</v>
      </c>
      <c r="T228">
        <v>11</v>
      </c>
      <c r="U228" t="s">
        <v>29</v>
      </c>
    </row>
    <row r="229" spans="1:21" x14ac:dyDescent="0.3">
      <c r="A229" t="s">
        <v>289</v>
      </c>
      <c r="B229" t="s">
        <v>43</v>
      </c>
      <c r="C229" t="s">
        <v>41</v>
      </c>
      <c r="D229">
        <v>0.4</v>
      </c>
      <c r="E229" t="s">
        <v>54</v>
      </c>
      <c r="F229" t="s">
        <v>25</v>
      </c>
      <c r="G229">
        <v>6750</v>
      </c>
      <c r="H229">
        <v>44</v>
      </c>
      <c r="I229">
        <v>44</v>
      </c>
      <c r="J229">
        <v>39</v>
      </c>
      <c r="K229">
        <v>88.6</v>
      </c>
      <c r="L229" t="s">
        <v>26</v>
      </c>
      <c r="M229" t="s">
        <v>26</v>
      </c>
      <c r="N229" t="s">
        <v>27</v>
      </c>
      <c r="O229" t="s">
        <v>26</v>
      </c>
      <c r="P229" t="s">
        <v>26</v>
      </c>
      <c r="Q229" t="s">
        <v>28</v>
      </c>
      <c r="R229" s="7">
        <v>45886</v>
      </c>
      <c r="S229">
        <v>5</v>
      </c>
      <c r="T229">
        <v>13</v>
      </c>
      <c r="U229" t="s">
        <v>29</v>
      </c>
    </row>
    <row r="230" spans="1:21" x14ac:dyDescent="0.3">
      <c r="A230" t="s">
        <v>290</v>
      </c>
      <c r="B230" t="s">
        <v>56</v>
      </c>
      <c r="C230" t="s">
        <v>23</v>
      </c>
      <c r="D230">
        <v>3.7</v>
      </c>
      <c r="E230" t="s">
        <v>24</v>
      </c>
      <c r="F230" t="s">
        <v>25</v>
      </c>
      <c r="G230">
        <v>4750</v>
      </c>
      <c r="H230">
        <v>8</v>
      </c>
      <c r="I230">
        <v>16</v>
      </c>
      <c r="J230">
        <v>8</v>
      </c>
      <c r="K230">
        <v>50</v>
      </c>
      <c r="L230" t="s">
        <v>27</v>
      </c>
      <c r="M230" t="s">
        <v>26</v>
      </c>
      <c r="N230" t="s">
        <v>26</v>
      </c>
      <c r="O230" t="s">
        <v>26</v>
      </c>
      <c r="P230" t="s">
        <v>26</v>
      </c>
      <c r="Q230" t="s">
        <v>28</v>
      </c>
      <c r="R230" s="7">
        <v>45925</v>
      </c>
      <c r="S230">
        <v>4</v>
      </c>
      <c r="T230">
        <v>14</v>
      </c>
      <c r="U230" t="s">
        <v>29</v>
      </c>
    </row>
    <row r="231" spans="1:21" x14ac:dyDescent="0.3">
      <c r="A231" t="s">
        <v>291</v>
      </c>
      <c r="B231" t="s">
        <v>53</v>
      </c>
      <c r="C231" t="s">
        <v>32</v>
      </c>
      <c r="D231">
        <v>4.5</v>
      </c>
      <c r="E231" t="s">
        <v>54</v>
      </c>
      <c r="F231" t="s">
        <v>25</v>
      </c>
      <c r="G231">
        <v>9500</v>
      </c>
      <c r="H231">
        <v>31</v>
      </c>
      <c r="I231">
        <v>31</v>
      </c>
      <c r="J231">
        <v>27</v>
      </c>
      <c r="K231">
        <v>87.1</v>
      </c>
      <c r="L231" t="s">
        <v>26</v>
      </c>
      <c r="M231" t="s">
        <v>26</v>
      </c>
      <c r="N231" t="s">
        <v>26</v>
      </c>
      <c r="O231" t="s">
        <v>26</v>
      </c>
      <c r="P231" t="s">
        <v>26</v>
      </c>
      <c r="Q231" t="s">
        <v>35</v>
      </c>
      <c r="R231" s="7">
        <v>45956</v>
      </c>
      <c r="S231">
        <v>4.5999999999999996</v>
      </c>
      <c r="T231">
        <v>8</v>
      </c>
      <c r="U231" t="s">
        <v>29</v>
      </c>
    </row>
    <row r="232" spans="1:21" x14ac:dyDescent="0.3">
      <c r="A232" t="s">
        <v>292</v>
      </c>
      <c r="B232" t="s">
        <v>46</v>
      </c>
      <c r="C232" t="s">
        <v>41</v>
      </c>
      <c r="D232">
        <v>2.1</v>
      </c>
      <c r="E232" t="s">
        <v>33</v>
      </c>
      <c r="F232" t="s">
        <v>49</v>
      </c>
      <c r="G232">
        <v>3250</v>
      </c>
      <c r="H232">
        <v>17</v>
      </c>
      <c r="I232">
        <v>51</v>
      </c>
      <c r="J232">
        <v>50</v>
      </c>
      <c r="K232">
        <v>98</v>
      </c>
      <c r="L232" t="s">
        <v>26</v>
      </c>
      <c r="M232" t="s">
        <v>26</v>
      </c>
      <c r="N232" t="s">
        <v>27</v>
      </c>
      <c r="O232" t="s">
        <v>26</v>
      </c>
      <c r="P232" t="s">
        <v>27</v>
      </c>
      <c r="Q232" t="s">
        <v>28</v>
      </c>
      <c r="R232" s="7">
        <v>45913</v>
      </c>
      <c r="S232">
        <v>2.9</v>
      </c>
      <c r="T232">
        <v>0</v>
      </c>
      <c r="U232" t="s">
        <v>29</v>
      </c>
    </row>
    <row r="233" spans="1:21" x14ac:dyDescent="0.3">
      <c r="A233" t="s">
        <v>293</v>
      </c>
      <c r="B233" t="s">
        <v>83</v>
      </c>
      <c r="C233" t="s">
        <v>32</v>
      </c>
      <c r="D233">
        <v>3</v>
      </c>
      <c r="E233" t="s">
        <v>54</v>
      </c>
      <c r="F233" t="s">
        <v>49</v>
      </c>
      <c r="G233">
        <v>10000</v>
      </c>
      <c r="H233">
        <v>44</v>
      </c>
      <c r="I233">
        <v>44</v>
      </c>
      <c r="J233">
        <v>41</v>
      </c>
      <c r="K233">
        <v>93.2</v>
      </c>
      <c r="L233" t="s">
        <v>27</v>
      </c>
      <c r="M233" t="s">
        <v>26</v>
      </c>
      <c r="N233" t="s">
        <v>27</v>
      </c>
      <c r="O233" t="s">
        <v>26</v>
      </c>
      <c r="P233" t="s">
        <v>26</v>
      </c>
      <c r="Q233" t="s">
        <v>28</v>
      </c>
      <c r="R233" s="7">
        <v>45861</v>
      </c>
      <c r="S233">
        <v>2.4</v>
      </c>
      <c r="T233">
        <v>16</v>
      </c>
      <c r="U233" t="s">
        <v>29</v>
      </c>
    </row>
    <row r="234" spans="1:21" x14ac:dyDescent="0.3">
      <c r="A234" t="s">
        <v>294</v>
      </c>
      <c r="B234" t="s">
        <v>70</v>
      </c>
      <c r="C234" t="s">
        <v>44</v>
      </c>
      <c r="D234">
        <v>2.2999999999999998</v>
      </c>
      <c r="E234" t="s">
        <v>48</v>
      </c>
      <c r="F234" t="s">
        <v>49</v>
      </c>
      <c r="G234">
        <v>2300</v>
      </c>
      <c r="H234">
        <v>24</v>
      </c>
      <c r="I234">
        <v>96</v>
      </c>
      <c r="J234">
        <v>56</v>
      </c>
      <c r="K234">
        <v>58.3</v>
      </c>
      <c r="L234" t="s">
        <v>26</v>
      </c>
      <c r="M234" t="s">
        <v>26</v>
      </c>
      <c r="N234" t="s">
        <v>26</v>
      </c>
      <c r="O234" t="s">
        <v>26</v>
      </c>
      <c r="P234" t="s">
        <v>26</v>
      </c>
      <c r="Q234" t="s">
        <v>35</v>
      </c>
      <c r="R234" s="7">
        <v>46010</v>
      </c>
      <c r="S234">
        <v>4.0999999999999996</v>
      </c>
      <c r="T234">
        <v>13</v>
      </c>
      <c r="U234" t="s">
        <v>29</v>
      </c>
    </row>
    <row r="235" spans="1:21" x14ac:dyDescent="0.3">
      <c r="A235" t="s">
        <v>295</v>
      </c>
      <c r="B235" t="s">
        <v>62</v>
      </c>
      <c r="C235" t="s">
        <v>41</v>
      </c>
      <c r="D235">
        <v>3.6</v>
      </c>
      <c r="E235" t="s">
        <v>54</v>
      </c>
      <c r="F235" t="s">
        <v>34</v>
      </c>
      <c r="G235">
        <v>9250</v>
      </c>
      <c r="H235">
        <v>11</v>
      </c>
      <c r="I235">
        <v>11</v>
      </c>
      <c r="J235">
        <v>4</v>
      </c>
      <c r="K235">
        <v>36.4</v>
      </c>
      <c r="L235" t="s">
        <v>27</v>
      </c>
      <c r="M235" t="s">
        <v>26</v>
      </c>
      <c r="N235" t="s">
        <v>27</v>
      </c>
      <c r="O235" t="s">
        <v>26</v>
      </c>
      <c r="P235" t="s">
        <v>26</v>
      </c>
      <c r="Q235" t="s">
        <v>28</v>
      </c>
      <c r="R235" s="7">
        <v>46150</v>
      </c>
      <c r="S235">
        <v>3.5</v>
      </c>
      <c r="T235">
        <v>13</v>
      </c>
      <c r="U235" t="s">
        <v>29</v>
      </c>
    </row>
    <row r="236" spans="1:21" x14ac:dyDescent="0.3">
      <c r="A236" t="s">
        <v>296</v>
      </c>
      <c r="B236" t="s">
        <v>75</v>
      </c>
      <c r="C236" t="s">
        <v>44</v>
      </c>
      <c r="D236">
        <v>7.4</v>
      </c>
      <c r="E236" t="s">
        <v>33</v>
      </c>
      <c r="F236" t="s">
        <v>49</v>
      </c>
      <c r="G236">
        <v>4000</v>
      </c>
      <c r="H236">
        <v>44</v>
      </c>
      <c r="I236">
        <v>132</v>
      </c>
      <c r="J236">
        <v>104</v>
      </c>
      <c r="K236">
        <v>78.8</v>
      </c>
      <c r="L236" t="s">
        <v>27</v>
      </c>
      <c r="M236" t="s">
        <v>26</v>
      </c>
      <c r="N236" t="s">
        <v>26</v>
      </c>
      <c r="O236" t="s">
        <v>26</v>
      </c>
      <c r="P236" t="s">
        <v>26</v>
      </c>
      <c r="Q236" t="s">
        <v>28</v>
      </c>
      <c r="R236" s="7">
        <v>45813</v>
      </c>
      <c r="S236">
        <v>3.9</v>
      </c>
      <c r="T236">
        <v>5</v>
      </c>
      <c r="U236" t="s">
        <v>29</v>
      </c>
    </row>
    <row r="237" spans="1:21" x14ac:dyDescent="0.3">
      <c r="A237" t="s">
        <v>297</v>
      </c>
      <c r="B237" t="s">
        <v>78</v>
      </c>
      <c r="C237" t="s">
        <v>47</v>
      </c>
      <c r="D237">
        <v>5.8</v>
      </c>
      <c r="E237" t="s">
        <v>24</v>
      </c>
      <c r="F237" t="s">
        <v>49</v>
      </c>
      <c r="G237">
        <v>4750</v>
      </c>
      <c r="H237">
        <v>39</v>
      </c>
      <c r="I237">
        <v>78</v>
      </c>
      <c r="J237">
        <v>77</v>
      </c>
      <c r="K237">
        <v>98.7</v>
      </c>
      <c r="L237" t="s">
        <v>27</v>
      </c>
      <c r="M237" t="s">
        <v>27</v>
      </c>
      <c r="N237" t="s">
        <v>27</v>
      </c>
      <c r="O237" t="s">
        <v>26</v>
      </c>
      <c r="P237" t="s">
        <v>27</v>
      </c>
      <c r="Q237" t="s">
        <v>65</v>
      </c>
      <c r="R237" s="7">
        <v>45757</v>
      </c>
      <c r="S237">
        <v>4.2</v>
      </c>
      <c r="T237">
        <v>13</v>
      </c>
      <c r="U237" t="s">
        <v>29</v>
      </c>
    </row>
    <row r="238" spans="1:21" x14ac:dyDescent="0.3">
      <c r="A238" t="s">
        <v>298</v>
      </c>
      <c r="B238" t="s">
        <v>37</v>
      </c>
      <c r="C238" t="s">
        <v>23</v>
      </c>
      <c r="D238">
        <v>0.5</v>
      </c>
      <c r="E238" t="s">
        <v>24</v>
      </c>
      <c r="F238" t="s">
        <v>34</v>
      </c>
      <c r="G238">
        <v>6250</v>
      </c>
      <c r="H238">
        <v>8</v>
      </c>
      <c r="I238">
        <v>16</v>
      </c>
      <c r="J238">
        <v>10</v>
      </c>
      <c r="K238">
        <v>62.5</v>
      </c>
      <c r="L238" t="s">
        <v>26</v>
      </c>
      <c r="M238" t="s">
        <v>26</v>
      </c>
      <c r="N238" t="s">
        <v>27</v>
      </c>
      <c r="O238" t="s">
        <v>26</v>
      </c>
      <c r="P238" t="s">
        <v>26</v>
      </c>
      <c r="Q238" t="s">
        <v>28</v>
      </c>
      <c r="R238" s="7">
        <v>46210</v>
      </c>
      <c r="S238">
        <v>3.8</v>
      </c>
      <c r="T238">
        <v>7</v>
      </c>
      <c r="U238" t="s">
        <v>29</v>
      </c>
    </row>
    <row r="239" spans="1:21" x14ac:dyDescent="0.3">
      <c r="A239" t="s">
        <v>299</v>
      </c>
      <c r="B239" t="s">
        <v>22</v>
      </c>
      <c r="C239" t="s">
        <v>32</v>
      </c>
      <c r="D239">
        <v>3.9</v>
      </c>
      <c r="E239" t="s">
        <v>33</v>
      </c>
      <c r="F239" t="s">
        <v>49</v>
      </c>
      <c r="G239">
        <v>3000</v>
      </c>
      <c r="H239">
        <v>12</v>
      </c>
      <c r="I239">
        <v>36</v>
      </c>
      <c r="J239">
        <v>13</v>
      </c>
      <c r="K239">
        <v>36.1</v>
      </c>
      <c r="L239" t="s">
        <v>26</v>
      </c>
      <c r="M239" t="s">
        <v>27</v>
      </c>
      <c r="N239" t="s">
        <v>27</v>
      </c>
      <c r="O239" t="s">
        <v>26</v>
      </c>
      <c r="P239" t="s">
        <v>27</v>
      </c>
      <c r="Q239" t="s">
        <v>65</v>
      </c>
      <c r="R239" s="7">
        <v>45972</v>
      </c>
      <c r="S239">
        <v>3.5</v>
      </c>
      <c r="T239">
        <v>4</v>
      </c>
      <c r="U239" t="s">
        <v>29</v>
      </c>
    </row>
    <row r="240" spans="1:21" x14ac:dyDescent="0.3">
      <c r="A240" t="s">
        <v>300</v>
      </c>
      <c r="B240" t="s">
        <v>150</v>
      </c>
      <c r="C240" t="s">
        <v>81</v>
      </c>
      <c r="D240">
        <v>5.7</v>
      </c>
      <c r="E240" t="s">
        <v>24</v>
      </c>
      <c r="F240" t="s">
        <v>34</v>
      </c>
      <c r="G240">
        <v>6500</v>
      </c>
      <c r="H240">
        <v>9</v>
      </c>
      <c r="I240">
        <v>18</v>
      </c>
      <c r="J240">
        <v>9</v>
      </c>
      <c r="K240">
        <v>50</v>
      </c>
      <c r="L240" t="s">
        <v>26</v>
      </c>
      <c r="M240" t="s">
        <v>26</v>
      </c>
      <c r="N240" t="s">
        <v>27</v>
      </c>
      <c r="O240" t="s">
        <v>26</v>
      </c>
      <c r="P240" t="s">
        <v>26</v>
      </c>
      <c r="Q240" t="s">
        <v>28</v>
      </c>
      <c r="R240" s="7">
        <v>45896</v>
      </c>
      <c r="S240">
        <v>3.5</v>
      </c>
      <c r="T240">
        <v>3</v>
      </c>
      <c r="U240" t="s">
        <v>29</v>
      </c>
    </row>
    <row r="241" spans="1:21" x14ac:dyDescent="0.3">
      <c r="A241" t="s">
        <v>301</v>
      </c>
      <c r="B241" t="s">
        <v>37</v>
      </c>
      <c r="C241" t="s">
        <v>41</v>
      </c>
      <c r="D241">
        <v>5.8</v>
      </c>
      <c r="E241" t="s">
        <v>54</v>
      </c>
      <c r="F241" t="s">
        <v>25</v>
      </c>
      <c r="G241">
        <v>10250</v>
      </c>
      <c r="H241">
        <v>11</v>
      </c>
      <c r="I241">
        <v>11</v>
      </c>
      <c r="J241">
        <v>4</v>
      </c>
      <c r="K241">
        <v>36.4</v>
      </c>
      <c r="L241" t="s">
        <v>27</v>
      </c>
      <c r="M241" t="s">
        <v>27</v>
      </c>
      <c r="N241" t="s">
        <v>26</v>
      </c>
      <c r="O241" t="s">
        <v>26</v>
      </c>
      <c r="P241" t="s">
        <v>26</v>
      </c>
      <c r="Q241" t="s">
        <v>28</v>
      </c>
      <c r="R241" s="7">
        <v>45687</v>
      </c>
      <c r="S241">
        <v>4.5999999999999996</v>
      </c>
      <c r="T241">
        <v>3</v>
      </c>
      <c r="U241" t="s">
        <v>29</v>
      </c>
    </row>
    <row r="242" spans="1:21" x14ac:dyDescent="0.3">
      <c r="A242" t="s">
        <v>302</v>
      </c>
      <c r="B242" t="s">
        <v>78</v>
      </c>
      <c r="C242" t="s">
        <v>64</v>
      </c>
      <c r="D242">
        <v>5.3</v>
      </c>
      <c r="E242" t="s">
        <v>24</v>
      </c>
      <c r="F242" t="s">
        <v>34</v>
      </c>
      <c r="G242">
        <v>3500</v>
      </c>
      <c r="H242">
        <v>27</v>
      </c>
      <c r="I242">
        <v>54</v>
      </c>
      <c r="J242">
        <v>44</v>
      </c>
      <c r="K242">
        <v>81.5</v>
      </c>
      <c r="L242" t="s">
        <v>26</v>
      </c>
      <c r="M242" t="s">
        <v>26</v>
      </c>
      <c r="N242" t="s">
        <v>26</v>
      </c>
      <c r="O242" t="s">
        <v>26</v>
      </c>
      <c r="P242" t="s">
        <v>26</v>
      </c>
      <c r="Q242" t="s">
        <v>35</v>
      </c>
      <c r="R242" s="7">
        <v>45770</v>
      </c>
      <c r="S242">
        <v>4.2</v>
      </c>
      <c r="T242">
        <v>9</v>
      </c>
      <c r="U242" t="s">
        <v>29</v>
      </c>
    </row>
    <row r="243" spans="1:21" x14ac:dyDescent="0.3">
      <c r="A243" t="s">
        <v>303</v>
      </c>
      <c r="B243" t="s">
        <v>60</v>
      </c>
      <c r="C243" t="s">
        <v>47</v>
      </c>
      <c r="D243">
        <v>5.9</v>
      </c>
      <c r="E243" t="s">
        <v>24</v>
      </c>
      <c r="F243" t="s">
        <v>34</v>
      </c>
      <c r="G243">
        <v>6250</v>
      </c>
      <c r="H243">
        <v>34</v>
      </c>
      <c r="I243">
        <v>68</v>
      </c>
      <c r="J243">
        <v>41</v>
      </c>
      <c r="K243">
        <v>60.3</v>
      </c>
      <c r="L243" t="s">
        <v>27</v>
      </c>
      <c r="M243" t="s">
        <v>26</v>
      </c>
      <c r="N243" t="s">
        <v>26</v>
      </c>
      <c r="O243" t="s">
        <v>26</v>
      </c>
      <c r="P243" t="s">
        <v>27</v>
      </c>
      <c r="Q243" t="s">
        <v>28</v>
      </c>
      <c r="R243" s="7">
        <v>45831</v>
      </c>
      <c r="S243">
        <v>4.2</v>
      </c>
      <c r="T243">
        <v>7</v>
      </c>
      <c r="U243" t="s">
        <v>29</v>
      </c>
    </row>
    <row r="244" spans="1:21" x14ac:dyDescent="0.3">
      <c r="A244" t="s">
        <v>304</v>
      </c>
      <c r="B244" t="s">
        <v>56</v>
      </c>
      <c r="C244" t="s">
        <v>38</v>
      </c>
      <c r="D244">
        <v>6.8</v>
      </c>
      <c r="E244" t="s">
        <v>48</v>
      </c>
      <c r="F244" t="s">
        <v>34</v>
      </c>
      <c r="G244">
        <v>2300</v>
      </c>
      <c r="H244">
        <v>13</v>
      </c>
      <c r="I244">
        <v>52</v>
      </c>
      <c r="J244">
        <v>50</v>
      </c>
      <c r="K244">
        <v>96.2</v>
      </c>
      <c r="L244" t="s">
        <v>26</v>
      </c>
      <c r="M244" t="s">
        <v>27</v>
      </c>
      <c r="N244" t="s">
        <v>27</v>
      </c>
      <c r="O244" t="s">
        <v>26</v>
      </c>
      <c r="P244" t="s">
        <v>26</v>
      </c>
      <c r="Q244" t="s">
        <v>28</v>
      </c>
      <c r="R244" s="7">
        <v>45743</v>
      </c>
      <c r="S244">
        <v>4</v>
      </c>
      <c r="T244">
        <v>9</v>
      </c>
      <c r="U244" t="s">
        <v>29</v>
      </c>
    </row>
    <row r="245" spans="1:21" x14ac:dyDescent="0.3">
      <c r="A245" t="s">
        <v>305</v>
      </c>
      <c r="B245" t="s">
        <v>67</v>
      </c>
      <c r="C245" t="s">
        <v>41</v>
      </c>
      <c r="D245">
        <v>2.8</v>
      </c>
      <c r="E245" t="s">
        <v>33</v>
      </c>
      <c r="F245" t="s">
        <v>49</v>
      </c>
      <c r="G245">
        <v>4000</v>
      </c>
      <c r="H245">
        <v>15</v>
      </c>
      <c r="I245">
        <v>45</v>
      </c>
      <c r="J245">
        <v>18</v>
      </c>
      <c r="K245">
        <v>40</v>
      </c>
      <c r="L245" t="s">
        <v>26</v>
      </c>
      <c r="M245" t="s">
        <v>26</v>
      </c>
      <c r="N245" t="s">
        <v>27</v>
      </c>
      <c r="O245" t="s">
        <v>26</v>
      </c>
      <c r="P245" t="s">
        <v>26</v>
      </c>
      <c r="Q245" t="s">
        <v>28</v>
      </c>
      <c r="R245" s="7">
        <v>45713</v>
      </c>
      <c r="S245">
        <v>4.2</v>
      </c>
      <c r="T245">
        <v>11</v>
      </c>
      <c r="U245" t="s">
        <v>29</v>
      </c>
    </row>
    <row r="246" spans="1:21" x14ac:dyDescent="0.3">
      <c r="A246" t="s">
        <v>306</v>
      </c>
      <c r="B246" t="s">
        <v>60</v>
      </c>
      <c r="C246" t="s">
        <v>41</v>
      </c>
      <c r="D246">
        <v>6.6</v>
      </c>
      <c r="E246" t="s">
        <v>54</v>
      </c>
      <c r="F246" t="s">
        <v>34</v>
      </c>
      <c r="G246">
        <v>8250</v>
      </c>
      <c r="H246">
        <v>29</v>
      </c>
      <c r="I246">
        <v>29</v>
      </c>
      <c r="J246">
        <v>15</v>
      </c>
      <c r="K246">
        <v>51.7</v>
      </c>
      <c r="L246" t="s">
        <v>26</v>
      </c>
      <c r="M246" t="s">
        <v>27</v>
      </c>
      <c r="N246" t="s">
        <v>26</v>
      </c>
      <c r="O246" t="s">
        <v>27</v>
      </c>
      <c r="P246" t="s">
        <v>27</v>
      </c>
      <c r="Q246" t="s">
        <v>65</v>
      </c>
      <c r="R246" s="7">
        <v>45783</v>
      </c>
      <c r="S246">
        <v>4.2</v>
      </c>
      <c r="T246">
        <v>15</v>
      </c>
      <c r="U246" t="s">
        <v>29</v>
      </c>
    </row>
    <row r="247" spans="1:21" x14ac:dyDescent="0.3">
      <c r="A247" t="s">
        <v>307</v>
      </c>
      <c r="B247" t="s">
        <v>22</v>
      </c>
      <c r="C247" t="s">
        <v>44</v>
      </c>
      <c r="D247">
        <v>5.3</v>
      </c>
      <c r="E247" t="s">
        <v>54</v>
      </c>
      <c r="F247" t="s">
        <v>25</v>
      </c>
      <c r="G247">
        <v>6750</v>
      </c>
      <c r="H247">
        <v>14</v>
      </c>
      <c r="I247">
        <v>14</v>
      </c>
      <c r="J247">
        <v>10</v>
      </c>
      <c r="K247">
        <v>71.400000000000006</v>
      </c>
      <c r="L247" t="s">
        <v>27</v>
      </c>
      <c r="M247" t="s">
        <v>26</v>
      </c>
      <c r="N247" t="s">
        <v>27</v>
      </c>
      <c r="O247" t="s">
        <v>27</v>
      </c>
      <c r="P247" t="s">
        <v>26</v>
      </c>
      <c r="Q247" t="s">
        <v>65</v>
      </c>
      <c r="R247" s="7">
        <v>46161</v>
      </c>
      <c r="S247">
        <v>3.2</v>
      </c>
      <c r="T247">
        <v>0</v>
      </c>
      <c r="U247" t="s">
        <v>29</v>
      </c>
    </row>
    <row r="248" spans="1:21" x14ac:dyDescent="0.3">
      <c r="A248" t="s">
        <v>308</v>
      </c>
      <c r="B248" t="s">
        <v>75</v>
      </c>
      <c r="C248" t="s">
        <v>64</v>
      </c>
      <c r="D248">
        <v>6.9</v>
      </c>
      <c r="E248" t="s">
        <v>54</v>
      </c>
      <c r="F248" t="s">
        <v>34</v>
      </c>
      <c r="G248">
        <v>8750</v>
      </c>
      <c r="H248">
        <v>36</v>
      </c>
      <c r="I248">
        <v>36</v>
      </c>
      <c r="J248">
        <v>13</v>
      </c>
      <c r="K248">
        <v>36.1</v>
      </c>
      <c r="L248" t="s">
        <v>26</v>
      </c>
      <c r="M248" t="s">
        <v>26</v>
      </c>
      <c r="N248" t="s">
        <v>26</v>
      </c>
      <c r="O248" t="s">
        <v>26</v>
      </c>
      <c r="P248" t="s">
        <v>26</v>
      </c>
      <c r="Q248" t="s">
        <v>35</v>
      </c>
      <c r="R248" s="7">
        <v>45731</v>
      </c>
      <c r="S248">
        <v>3.2</v>
      </c>
      <c r="T248">
        <v>16</v>
      </c>
      <c r="U248" t="s">
        <v>29</v>
      </c>
    </row>
    <row r="249" spans="1:21" x14ac:dyDescent="0.3">
      <c r="A249" t="s">
        <v>309</v>
      </c>
      <c r="B249" t="s">
        <v>83</v>
      </c>
      <c r="C249" t="s">
        <v>47</v>
      </c>
      <c r="D249">
        <v>3.7</v>
      </c>
      <c r="E249" t="s">
        <v>48</v>
      </c>
      <c r="F249" t="s">
        <v>34</v>
      </c>
      <c r="G249">
        <v>2300</v>
      </c>
      <c r="H249">
        <v>43</v>
      </c>
      <c r="I249">
        <v>172</v>
      </c>
      <c r="J249">
        <v>138</v>
      </c>
      <c r="K249">
        <v>80.2</v>
      </c>
      <c r="L249" t="s">
        <v>27</v>
      </c>
      <c r="M249" t="s">
        <v>27</v>
      </c>
      <c r="N249" t="s">
        <v>27</v>
      </c>
      <c r="O249" t="s">
        <v>26</v>
      </c>
      <c r="P249" t="s">
        <v>26</v>
      </c>
      <c r="Q249" t="s">
        <v>65</v>
      </c>
      <c r="R249" s="7">
        <v>45722</v>
      </c>
      <c r="S249">
        <v>3.9</v>
      </c>
      <c r="T249">
        <v>5</v>
      </c>
      <c r="U249" t="s">
        <v>29</v>
      </c>
    </row>
    <row r="250" spans="1:21" x14ac:dyDescent="0.3">
      <c r="A250" t="s">
        <v>310</v>
      </c>
      <c r="B250" t="s">
        <v>150</v>
      </c>
      <c r="C250" t="s">
        <v>81</v>
      </c>
      <c r="D250">
        <v>2</v>
      </c>
      <c r="E250" t="s">
        <v>33</v>
      </c>
      <c r="F250" t="s">
        <v>49</v>
      </c>
      <c r="G250">
        <v>2500</v>
      </c>
      <c r="H250">
        <v>40</v>
      </c>
      <c r="I250">
        <v>120</v>
      </c>
      <c r="J250">
        <v>70</v>
      </c>
      <c r="K250">
        <v>58.3</v>
      </c>
      <c r="L250" t="s">
        <v>27</v>
      </c>
      <c r="M250" t="s">
        <v>27</v>
      </c>
      <c r="N250" t="s">
        <v>26</v>
      </c>
      <c r="O250" t="s">
        <v>27</v>
      </c>
      <c r="P250" t="s">
        <v>26</v>
      </c>
      <c r="Q250" t="s">
        <v>65</v>
      </c>
      <c r="R250" s="7">
        <v>46054</v>
      </c>
      <c r="S250">
        <v>3</v>
      </c>
      <c r="T250">
        <v>18</v>
      </c>
      <c r="U250" t="s">
        <v>29</v>
      </c>
    </row>
    <row r="251" spans="1:21" x14ac:dyDescent="0.3">
      <c r="A251" t="s">
        <v>311</v>
      </c>
      <c r="B251" t="s">
        <v>46</v>
      </c>
      <c r="C251" t="s">
        <v>38</v>
      </c>
      <c r="D251">
        <v>7.4</v>
      </c>
      <c r="E251" t="s">
        <v>54</v>
      </c>
      <c r="F251" t="s">
        <v>49</v>
      </c>
      <c r="G251">
        <v>6250</v>
      </c>
      <c r="H251">
        <v>33</v>
      </c>
      <c r="I251">
        <v>33</v>
      </c>
      <c r="J251">
        <v>24</v>
      </c>
      <c r="K251">
        <v>72.7</v>
      </c>
      <c r="L251" t="s">
        <v>26</v>
      </c>
      <c r="M251" t="s">
        <v>26</v>
      </c>
      <c r="N251" t="s">
        <v>27</v>
      </c>
      <c r="O251" t="s">
        <v>26</v>
      </c>
      <c r="P251" t="s">
        <v>26</v>
      </c>
      <c r="Q251" t="s">
        <v>28</v>
      </c>
      <c r="R251" s="7">
        <v>45703</v>
      </c>
      <c r="S251">
        <v>4.3</v>
      </c>
      <c r="T251">
        <v>14</v>
      </c>
      <c r="U251" t="s">
        <v>29</v>
      </c>
    </row>
    <row r="252" spans="1:21" x14ac:dyDescent="0.3">
      <c r="A252" t="s">
        <v>312</v>
      </c>
      <c r="B252" t="s">
        <v>51</v>
      </c>
      <c r="C252" t="s">
        <v>23</v>
      </c>
      <c r="D252">
        <v>6.2</v>
      </c>
      <c r="E252" t="s">
        <v>48</v>
      </c>
      <c r="F252" t="s">
        <v>49</v>
      </c>
      <c r="G252">
        <v>3050</v>
      </c>
      <c r="H252">
        <v>43</v>
      </c>
      <c r="I252">
        <v>172</v>
      </c>
      <c r="J252">
        <v>158</v>
      </c>
      <c r="K252">
        <v>91.9</v>
      </c>
      <c r="L252" t="s">
        <v>26</v>
      </c>
      <c r="M252" t="s">
        <v>26</v>
      </c>
      <c r="N252" t="s">
        <v>26</v>
      </c>
      <c r="O252" t="s">
        <v>26</v>
      </c>
      <c r="P252" t="s">
        <v>27</v>
      </c>
      <c r="Q252" t="s">
        <v>28</v>
      </c>
      <c r="R252" s="7">
        <v>46151</v>
      </c>
      <c r="S252">
        <v>3.4</v>
      </c>
      <c r="T252">
        <v>0</v>
      </c>
      <c r="U252" t="s">
        <v>29</v>
      </c>
    </row>
    <row r="253" spans="1:21" x14ac:dyDescent="0.3">
      <c r="A253" t="s">
        <v>313</v>
      </c>
      <c r="B253" t="s">
        <v>72</v>
      </c>
      <c r="C253" t="s">
        <v>81</v>
      </c>
      <c r="D253">
        <v>5.3</v>
      </c>
      <c r="E253" t="s">
        <v>54</v>
      </c>
      <c r="F253" t="s">
        <v>49</v>
      </c>
      <c r="G253">
        <v>6750</v>
      </c>
      <c r="H253">
        <v>39</v>
      </c>
      <c r="I253">
        <v>39</v>
      </c>
      <c r="J253">
        <v>17</v>
      </c>
      <c r="K253">
        <v>43.6</v>
      </c>
      <c r="L253" t="s">
        <v>26</v>
      </c>
      <c r="M253" t="s">
        <v>26</v>
      </c>
      <c r="N253" t="s">
        <v>27</v>
      </c>
      <c r="O253" t="s">
        <v>26</v>
      </c>
      <c r="P253" t="s">
        <v>26</v>
      </c>
      <c r="Q253" t="s">
        <v>28</v>
      </c>
      <c r="R253" s="7">
        <v>46086</v>
      </c>
      <c r="S253">
        <v>4.9000000000000004</v>
      </c>
      <c r="T253">
        <v>3</v>
      </c>
      <c r="U253" t="s">
        <v>29</v>
      </c>
    </row>
    <row r="254" spans="1:21" x14ac:dyDescent="0.3">
      <c r="A254" t="s">
        <v>314</v>
      </c>
      <c r="B254" t="s">
        <v>31</v>
      </c>
      <c r="C254" t="s">
        <v>64</v>
      </c>
      <c r="D254">
        <v>6.2</v>
      </c>
      <c r="E254" t="s">
        <v>24</v>
      </c>
      <c r="F254" t="s">
        <v>49</v>
      </c>
      <c r="G254">
        <v>6000</v>
      </c>
      <c r="H254">
        <v>14</v>
      </c>
      <c r="I254">
        <v>28</v>
      </c>
      <c r="J254">
        <v>22</v>
      </c>
      <c r="K254">
        <v>78.599999999999994</v>
      </c>
      <c r="L254" t="s">
        <v>26</v>
      </c>
      <c r="M254" t="s">
        <v>27</v>
      </c>
      <c r="N254" t="s">
        <v>26</v>
      </c>
      <c r="O254" t="s">
        <v>26</v>
      </c>
      <c r="P254" t="s">
        <v>27</v>
      </c>
      <c r="Q254" t="s">
        <v>28</v>
      </c>
      <c r="R254" s="7">
        <v>45714</v>
      </c>
      <c r="S254">
        <v>3.8</v>
      </c>
      <c r="T254">
        <v>0</v>
      </c>
      <c r="U254" t="s">
        <v>29</v>
      </c>
    </row>
    <row r="255" spans="1:21" x14ac:dyDescent="0.3">
      <c r="A255" t="s">
        <v>315</v>
      </c>
      <c r="B255" t="s">
        <v>62</v>
      </c>
      <c r="C255" t="s">
        <v>64</v>
      </c>
      <c r="D255">
        <v>6.9</v>
      </c>
      <c r="E255" t="s">
        <v>24</v>
      </c>
      <c r="F255" t="s">
        <v>49</v>
      </c>
      <c r="G255">
        <v>4750</v>
      </c>
      <c r="H255">
        <v>16</v>
      </c>
      <c r="I255">
        <v>32</v>
      </c>
      <c r="J255">
        <v>14</v>
      </c>
      <c r="K255">
        <v>43.8</v>
      </c>
      <c r="L255" t="s">
        <v>26</v>
      </c>
      <c r="M255" t="s">
        <v>26</v>
      </c>
      <c r="N255" t="s">
        <v>26</v>
      </c>
      <c r="O255" t="s">
        <v>26</v>
      </c>
      <c r="P255" t="s">
        <v>27</v>
      </c>
      <c r="Q255" t="s">
        <v>28</v>
      </c>
      <c r="R255" s="7">
        <v>46063</v>
      </c>
      <c r="S255">
        <v>4</v>
      </c>
      <c r="T255">
        <v>12</v>
      </c>
      <c r="U255" t="s">
        <v>29</v>
      </c>
    </row>
    <row r="256" spans="1:21" x14ac:dyDescent="0.3">
      <c r="A256" t="s">
        <v>316</v>
      </c>
      <c r="B256" t="s">
        <v>58</v>
      </c>
      <c r="C256" t="s">
        <v>64</v>
      </c>
      <c r="D256">
        <v>6.1</v>
      </c>
      <c r="E256" t="s">
        <v>24</v>
      </c>
      <c r="F256" t="s">
        <v>25</v>
      </c>
      <c r="G256">
        <v>6750</v>
      </c>
      <c r="H256">
        <v>40</v>
      </c>
      <c r="I256">
        <v>80</v>
      </c>
      <c r="J256">
        <v>47</v>
      </c>
      <c r="K256">
        <v>58.8</v>
      </c>
      <c r="L256" t="s">
        <v>26</v>
      </c>
      <c r="M256" t="s">
        <v>26</v>
      </c>
      <c r="N256" t="s">
        <v>26</v>
      </c>
      <c r="O256" t="s">
        <v>26</v>
      </c>
      <c r="P256" t="s">
        <v>26</v>
      </c>
      <c r="Q256" t="s">
        <v>35</v>
      </c>
      <c r="R256" s="7">
        <v>46227</v>
      </c>
      <c r="S256">
        <v>4.3</v>
      </c>
      <c r="T256">
        <v>11</v>
      </c>
      <c r="U256" t="s">
        <v>29</v>
      </c>
    </row>
    <row r="257" spans="1:21" x14ac:dyDescent="0.3">
      <c r="A257" t="s">
        <v>317</v>
      </c>
      <c r="B257" t="s">
        <v>70</v>
      </c>
      <c r="C257" t="s">
        <v>81</v>
      </c>
      <c r="D257">
        <v>5.4</v>
      </c>
      <c r="E257" t="s">
        <v>33</v>
      </c>
      <c r="F257" t="s">
        <v>34</v>
      </c>
      <c r="G257">
        <v>4500</v>
      </c>
      <c r="H257">
        <v>38</v>
      </c>
      <c r="I257">
        <v>114</v>
      </c>
      <c r="J257">
        <v>113</v>
      </c>
      <c r="K257">
        <v>99.1</v>
      </c>
      <c r="L257" t="s">
        <v>26</v>
      </c>
      <c r="M257" t="s">
        <v>26</v>
      </c>
      <c r="N257" t="s">
        <v>26</v>
      </c>
      <c r="O257" t="s">
        <v>26</v>
      </c>
      <c r="P257" t="s">
        <v>27</v>
      </c>
      <c r="Q257" t="s">
        <v>28</v>
      </c>
      <c r="R257" s="7">
        <v>46094</v>
      </c>
      <c r="S257">
        <v>3.9</v>
      </c>
      <c r="T257">
        <v>12</v>
      </c>
      <c r="U257" t="s">
        <v>29</v>
      </c>
    </row>
    <row r="258" spans="1:21" x14ac:dyDescent="0.3">
      <c r="A258" t="s">
        <v>318</v>
      </c>
      <c r="B258" t="s">
        <v>67</v>
      </c>
      <c r="C258" t="s">
        <v>23</v>
      </c>
      <c r="D258">
        <v>1.7</v>
      </c>
      <c r="E258" t="s">
        <v>24</v>
      </c>
      <c r="F258" t="s">
        <v>25</v>
      </c>
      <c r="G258">
        <v>5750</v>
      </c>
      <c r="H258">
        <v>24</v>
      </c>
      <c r="I258">
        <v>48</v>
      </c>
      <c r="J258">
        <v>25</v>
      </c>
      <c r="K258">
        <v>52.1</v>
      </c>
      <c r="L258" t="s">
        <v>26</v>
      </c>
      <c r="M258" t="s">
        <v>26</v>
      </c>
      <c r="N258" t="s">
        <v>27</v>
      </c>
      <c r="O258" t="s">
        <v>26</v>
      </c>
      <c r="P258" t="s">
        <v>26</v>
      </c>
      <c r="Q258" t="s">
        <v>28</v>
      </c>
      <c r="R258" s="7">
        <v>45730</v>
      </c>
      <c r="S258">
        <v>4.9000000000000004</v>
      </c>
      <c r="T258">
        <v>14</v>
      </c>
      <c r="U258" t="s">
        <v>29</v>
      </c>
    </row>
    <row r="259" spans="1:21" x14ac:dyDescent="0.3">
      <c r="A259" t="s">
        <v>319</v>
      </c>
      <c r="B259" t="s">
        <v>72</v>
      </c>
      <c r="C259" t="s">
        <v>47</v>
      </c>
      <c r="D259">
        <v>5.6</v>
      </c>
      <c r="E259" t="s">
        <v>48</v>
      </c>
      <c r="F259" t="s">
        <v>34</v>
      </c>
      <c r="G259">
        <v>2550</v>
      </c>
      <c r="H259">
        <v>40</v>
      </c>
      <c r="I259">
        <v>160</v>
      </c>
      <c r="J259">
        <v>156</v>
      </c>
      <c r="K259">
        <v>97.5</v>
      </c>
      <c r="L259" t="s">
        <v>27</v>
      </c>
      <c r="M259" t="s">
        <v>26</v>
      </c>
      <c r="N259" t="s">
        <v>26</v>
      </c>
      <c r="O259" t="s">
        <v>26</v>
      </c>
      <c r="P259" t="s">
        <v>27</v>
      </c>
      <c r="Q259" t="s">
        <v>28</v>
      </c>
      <c r="R259" s="7">
        <v>45961</v>
      </c>
      <c r="S259">
        <v>4.7</v>
      </c>
      <c r="T259">
        <v>17</v>
      </c>
      <c r="U259" t="s">
        <v>29</v>
      </c>
    </row>
    <row r="260" spans="1:21" x14ac:dyDescent="0.3">
      <c r="A260" t="s">
        <v>320</v>
      </c>
      <c r="B260" t="s">
        <v>56</v>
      </c>
      <c r="C260" t="s">
        <v>41</v>
      </c>
      <c r="D260">
        <v>1.7</v>
      </c>
      <c r="E260" t="s">
        <v>48</v>
      </c>
      <c r="F260" t="s">
        <v>25</v>
      </c>
      <c r="G260">
        <v>2550</v>
      </c>
      <c r="H260">
        <v>31</v>
      </c>
      <c r="I260">
        <v>124</v>
      </c>
      <c r="J260">
        <v>118</v>
      </c>
      <c r="K260">
        <v>95.2</v>
      </c>
      <c r="L260" t="s">
        <v>27</v>
      </c>
      <c r="M260" t="s">
        <v>26</v>
      </c>
      <c r="N260" t="s">
        <v>26</v>
      </c>
      <c r="O260" t="s">
        <v>26</v>
      </c>
      <c r="P260" t="s">
        <v>26</v>
      </c>
      <c r="Q260" t="s">
        <v>28</v>
      </c>
      <c r="R260" s="7">
        <v>46226</v>
      </c>
      <c r="S260">
        <v>4.0999999999999996</v>
      </c>
      <c r="T260">
        <v>2</v>
      </c>
      <c r="U260" t="s">
        <v>29</v>
      </c>
    </row>
    <row r="261" spans="1:21" x14ac:dyDescent="0.3">
      <c r="A261" t="s">
        <v>321</v>
      </c>
      <c r="B261" t="s">
        <v>22</v>
      </c>
      <c r="C261" t="s">
        <v>32</v>
      </c>
      <c r="D261">
        <v>0.5</v>
      </c>
      <c r="E261" t="s">
        <v>33</v>
      </c>
      <c r="F261" t="s">
        <v>34</v>
      </c>
      <c r="G261">
        <v>4500</v>
      </c>
      <c r="H261">
        <v>24</v>
      </c>
      <c r="I261">
        <v>72</v>
      </c>
      <c r="J261">
        <v>33</v>
      </c>
      <c r="K261">
        <v>45.8</v>
      </c>
      <c r="L261" t="s">
        <v>27</v>
      </c>
      <c r="M261" t="s">
        <v>26</v>
      </c>
      <c r="N261" t="s">
        <v>26</v>
      </c>
      <c r="O261" t="s">
        <v>26</v>
      </c>
      <c r="P261" t="s">
        <v>26</v>
      </c>
      <c r="Q261" t="s">
        <v>28</v>
      </c>
      <c r="R261" s="7">
        <v>45831</v>
      </c>
      <c r="S261">
        <v>4.3</v>
      </c>
      <c r="T261">
        <v>1</v>
      </c>
      <c r="U261" t="s">
        <v>29</v>
      </c>
    </row>
    <row r="262" spans="1:21" x14ac:dyDescent="0.3">
      <c r="A262" t="s">
        <v>322</v>
      </c>
      <c r="B262" t="s">
        <v>46</v>
      </c>
      <c r="C262" t="s">
        <v>23</v>
      </c>
      <c r="D262">
        <v>5.8</v>
      </c>
      <c r="E262" t="s">
        <v>33</v>
      </c>
      <c r="F262" t="s">
        <v>49</v>
      </c>
      <c r="G262">
        <v>4250</v>
      </c>
      <c r="H262">
        <v>44</v>
      </c>
      <c r="I262">
        <v>132</v>
      </c>
      <c r="J262">
        <v>116</v>
      </c>
      <c r="K262">
        <v>87.9</v>
      </c>
      <c r="L262" t="s">
        <v>26</v>
      </c>
      <c r="M262" t="s">
        <v>26</v>
      </c>
      <c r="N262" t="s">
        <v>27</v>
      </c>
      <c r="O262" t="s">
        <v>26</v>
      </c>
      <c r="P262" t="s">
        <v>26</v>
      </c>
      <c r="Q262" t="s">
        <v>28</v>
      </c>
      <c r="R262" s="7">
        <v>46033</v>
      </c>
      <c r="S262">
        <v>4.5999999999999996</v>
      </c>
      <c r="T262">
        <v>16</v>
      </c>
      <c r="U262" t="s">
        <v>29</v>
      </c>
    </row>
    <row r="263" spans="1:21" x14ac:dyDescent="0.3">
      <c r="A263" t="s">
        <v>323</v>
      </c>
      <c r="B263" t="s">
        <v>72</v>
      </c>
      <c r="C263" t="s">
        <v>32</v>
      </c>
      <c r="D263">
        <v>0.9</v>
      </c>
      <c r="E263" t="s">
        <v>24</v>
      </c>
      <c r="F263" t="s">
        <v>25</v>
      </c>
      <c r="G263">
        <v>5000</v>
      </c>
      <c r="H263">
        <v>29</v>
      </c>
      <c r="I263">
        <v>58</v>
      </c>
      <c r="J263">
        <v>41</v>
      </c>
      <c r="K263">
        <v>70.7</v>
      </c>
      <c r="L263" t="s">
        <v>27</v>
      </c>
      <c r="M263" t="s">
        <v>26</v>
      </c>
      <c r="N263" t="s">
        <v>27</v>
      </c>
      <c r="O263" t="s">
        <v>26</v>
      </c>
      <c r="P263" t="s">
        <v>26</v>
      </c>
      <c r="Q263" t="s">
        <v>28</v>
      </c>
      <c r="R263" s="7">
        <v>46036</v>
      </c>
      <c r="S263">
        <v>4.3</v>
      </c>
      <c r="T263">
        <v>3</v>
      </c>
      <c r="U263" t="s">
        <v>29</v>
      </c>
    </row>
    <row r="264" spans="1:21" x14ac:dyDescent="0.3">
      <c r="A264" t="s">
        <v>324</v>
      </c>
      <c r="B264" t="s">
        <v>51</v>
      </c>
      <c r="C264" t="s">
        <v>64</v>
      </c>
      <c r="D264">
        <v>2</v>
      </c>
      <c r="E264" t="s">
        <v>24</v>
      </c>
      <c r="F264" t="s">
        <v>25</v>
      </c>
      <c r="G264">
        <v>3750</v>
      </c>
      <c r="H264">
        <v>28</v>
      </c>
      <c r="I264">
        <v>56</v>
      </c>
      <c r="J264">
        <v>43</v>
      </c>
      <c r="K264">
        <v>76.8</v>
      </c>
      <c r="L264" t="s">
        <v>26</v>
      </c>
      <c r="M264" t="s">
        <v>26</v>
      </c>
      <c r="N264" t="s">
        <v>27</v>
      </c>
      <c r="O264" t="s">
        <v>27</v>
      </c>
      <c r="P264" t="s">
        <v>26</v>
      </c>
      <c r="Q264" t="s">
        <v>28</v>
      </c>
      <c r="R264" s="7">
        <v>45783</v>
      </c>
      <c r="S264">
        <v>4.2</v>
      </c>
      <c r="T264">
        <v>16</v>
      </c>
      <c r="U264" t="s">
        <v>29</v>
      </c>
    </row>
    <row r="265" spans="1:21" x14ac:dyDescent="0.3">
      <c r="A265" t="s">
        <v>325</v>
      </c>
      <c r="B265" t="s">
        <v>85</v>
      </c>
      <c r="C265" t="s">
        <v>64</v>
      </c>
      <c r="D265">
        <v>0.5</v>
      </c>
      <c r="E265" t="s">
        <v>24</v>
      </c>
      <c r="F265" t="s">
        <v>25</v>
      </c>
      <c r="G265">
        <v>6000</v>
      </c>
      <c r="H265">
        <v>40</v>
      </c>
      <c r="I265">
        <v>80</v>
      </c>
      <c r="J265">
        <v>33</v>
      </c>
      <c r="K265">
        <v>41.2</v>
      </c>
      <c r="L265" t="s">
        <v>26</v>
      </c>
      <c r="M265" t="s">
        <v>26</v>
      </c>
      <c r="N265" t="s">
        <v>27</v>
      </c>
      <c r="O265" t="s">
        <v>26</v>
      </c>
      <c r="P265" t="s">
        <v>26</v>
      </c>
      <c r="Q265" t="s">
        <v>28</v>
      </c>
      <c r="R265" s="7">
        <v>45765</v>
      </c>
      <c r="S265">
        <v>3.5</v>
      </c>
      <c r="T265">
        <v>6</v>
      </c>
      <c r="U265" t="s">
        <v>29</v>
      </c>
    </row>
    <row r="266" spans="1:21" x14ac:dyDescent="0.3">
      <c r="A266" t="s">
        <v>326</v>
      </c>
      <c r="B266" t="s">
        <v>83</v>
      </c>
      <c r="C266" t="s">
        <v>38</v>
      </c>
      <c r="D266">
        <v>1.7</v>
      </c>
      <c r="E266" t="s">
        <v>48</v>
      </c>
      <c r="F266" t="s">
        <v>34</v>
      </c>
      <c r="G266">
        <v>4300</v>
      </c>
      <c r="H266">
        <v>12</v>
      </c>
      <c r="I266">
        <v>48</v>
      </c>
      <c r="J266">
        <v>25</v>
      </c>
      <c r="K266">
        <v>52.1</v>
      </c>
      <c r="L266" t="s">
        <v>26</v>
      </c>
      <c r="M266" t="s">
        <v>26</v>
      </c>
      <c r="N266" t="s">
        <v>26</v>
      </c>
      <c r="O266" t="s">
        <v>27</v>
      </c>
      <c r="P266" t="s">
        <v>26</v>
      </c>
      <c r="Q266" t="s">
        <v>28</v>
      </c>
      <c r="R266" s="7">
        <v>45691</v>
      </c>
      <c r="S266">
        <v>4.2</v>
      </c>
      <c r="T266">
        <v>1</v>
      </c>
      <c r="U266" t="s">
        <v>29</v>
      </c>
    </row>
    <row r="267" spans="1:21" x14ac:dyDescent="0.3">
      <c r="A267" t="s">
        <v>327</v>
      </c>
      <c r="B267" t="s">
        <v>62</v>
      </c>
      <c r="C267" t="s">
        <v>47</v>
      </c>
      <c r="D267">
        <v>6.9</v>
      </c>
      <c r="E267" t="s">
        <v>48</v>
      </c>
      <c r="F267" t="s">
        <v>34</v>
      </c>
      <c r="G267">
        <v>3300</v>
      </c>
      <c r="H267">
        <v>36</v>
      </c>
      <c r="I267">
        <v>144</v>
      </c>
      <c r="J267">
        <v>130</v>
      </c>
      <c r="K267">
        <v>90.3</v>
      </c>
      <c r="L267" t="s">
        <v>27</v>
      </c>
      <c r="M267" t="s">
        <v>26</v>
      </c>
      <c r="N267" t="s">
        <v>26</v>
      </c>
      <c r="O267" t="s">
        <v>27</v>
      </c>
      <c r="P267" t="s">
        <v>26</v>
      </c>
      <c r="Q267" t="s">
        <v>28</v>
      </c>
      <c r="R267" s="7">
        <v>46081</v>
      </c>
      <c r="S267">
        <v>4.4000000000000004</v>
      </c>
      <c r="T267">
        <v>17</v>
      </c>
      <c r="U267" t="s">
        <v>29</v>
      </c>
    </row>
    <row r="268" spans="1:21" x14ac:dyDescent="0.3">
      <c r="A268" t="s">
        <v>328</v>
      </c>
      <c r="B268" t="s">
        <v>60</v>
      </c>
      <c r="C268" t="s">
        <v>38</v>
      </c>
      <c r="D268">
        <v>5.7</v>
      </c>
      <c r="E268" t="s">
        <v>54</v>
      </c>
      <c r="F268" t="s">
        <v>49</v>
      </c>
      <c r="G268">
        <v>11000</v>
      </c>
      <c r="H268">
        <v>12</v>
      </c>
      <c r="I268">
        <v>12</v>
      </c>
      <c r="J268">
        <v>9</v>
      </c>
      <c r="K268">
        <v>75</v>
      </c>
      <c r="L268" t="s">
        <v>26</v>
      </c>
      <c r="M268" t="s">
        <v>26</v>
      </c>
      <c r="N268" t="s">
        <v>27</v>
      </c>
      <c r="O268" t="s">
        <v>26</v>
      </c>
      <c r="P268" t="s">
        <v>26</v>
      </c>
      <c r="Q268" t="s">
        <v>28</v>
      </c>
      <c r="R268" s="7">
        <v>46181</v>
      </c>
      <c r="S268">
        <v>4.0999999999999996</v>
      </c>
      <c r="T268">
        <v>9</v>
      </c>
      <c r="U268" t="s">
        <v>29</v>
      </c>
    </row>
    <row r="269" spans="1:21" x14ac:dyDescent="0.3">
      <c r="A269" t="s">
        <v>329</v>
      </c>
      <c r="B269" t="s">
        <v>56</v>
      </c>
      <c r="C269" t="s">
        <v>64</v>
      </c>
      <c r="D269">
        <v>1.3</v>
      </c>
      <c r="E269" t="s">
        <v>24</v>
      </c>
      <c r="F269" t="s">
        <v>25</v>
      </c>
      <c r="G269">
        <v>4500</v>
      </c>
      <c r="H269">
        <v>33</v>
      </c>
      <c r="I269">
        <v>66</v>
      </c>
      <c r="J269">
        <v>57</v>
      </c>
      <c r="K269">
        <v>86.4</v>
      </c>
      <c r="L269" t="s">
        <v>26</v>
      </c>
      <c r="M269" t="s">
        <v>26</v>
      </c>
      <c r="N269" t="s">
        <v>27</v>
      </c>
      <c r="O269" t="s">
        <v>26</v>
      </c>
      <c r="P269" t="s">
        <v>26</v>
      </c>
      <c r="Q269" t="s">
        <v>28</v>
      </c>
      <c r="R269" s="7">
        <v>45969</v>
      </c>
      <c r="S269">
        <v>3.4</v>
      </c>
      <c r="T269">
        <v>17</v>
      </c>
      <c r="U269" t="s">
        <v>29</v>
      </c>
    </row>
    <row r="270" spans="1:21" x14ac:dyDescent="0.3">
      <c r="A270" t="s">
        <v>330</v>
      </c>
      <c r="B270" t="s">
        <v>75</v>
      </c>
      <c r="C270" t="s">
        <v>38</v>
      </c>
      <c r="D270">
        <v>0.5</v>
      </c>
      <c r="E270" t="s">
        <v>48</v>
      </c>
      <c r="F270" t="s">
        <v>49</v>
      </c>
      <c r="G270">
        <v>3800</v>
      </c>
      <c r="H270">
        <v>43</v>
      </c>
      <c r="I270">
        <v>172</v>
      </c>
      <c r="J270">
        <v>70</v>
      </c>
      <c r="K270">
        <v>40.700000000000003</v>
      </c>
      <c r="L270" t="s">
        <v>27</v>
      </c>
      <c r="M270" t="s">
        <v>26</v>
      </c>
      <c r="N270" t="s">
        <v>26</v>
      </c>
      <c r="O270" t="s">
        <v>26</v>
      </c>
      <c r="P270" t="s">
        <v>26</v>
      </c>
      <c r="Q270" t="s">
        <v>28</v>
      </c>
      <c r="R270" s="7">
        <v>45979</v>
      </c>
      <c r="S270">
        <v>4.3</v>
      </c>
      <c r="T270">
        <v>5</v>
      </c>
      <c r="U270" t="s">
        <v>29</v>
      </c>
    </row>
    <row r="271" spans="1:21" x14ac:dyDescent="0.3">
      <c r="A271" t="s">
        <v>331</v>
      </c>
      <c r="B271" t="s">
        <v>31</v>
      </c>
      <c r="C271" t="s">
        <v>38</v>
      </c>
      <c r="D271">
        <v>1.5</v>
      </c>
      <c r="E271" t="s">
        <v>54</v>
      </c>
      <c r="F271" t="s">
        <v>49</v>
      </c>
      <c r="G271">
        <v>11500</v>
      </c>
      <c r="H271">
        <v>43</v>
      </c>
      <c r="I271">
        <v>43</v>
      </c>
      <c r="J271">
        <v>29</v>
      </c>
      <c r="K271">
        <v>67.400000000000006</v>
      </c>
      <c r="L271" t="s">
        <v>26</v>
      </c>
      <c r="M271" t="s">
        <v>26</v>
      </c>
      <c r="N271" t="s">
        <v>26</v>
      </c>
      <c r="O271" t="s">
        <v>26</v>
      </c>
      <c r="P271" t="s">
        <v>26</v>
      </c>
      <c r="Q271" t="s">
        <v>35</v>
      </c>
      <c r="R271" s="7">
        <v>45741</v>
      </c>
      <c r="S271">
        <v>4.7</v>
      </c>
      <c r="T271">
        <v>18</v>
      </c>
      <c r="U271" t="s">
        <v>29</v>
      </c>
    </row>
    <row r="272" spans="1:21" x14ac:dyDescent="0.3">
      <c r="A272" t="s">
        <v>332</v>
      </c>
      <c r="B272" t="s">
        <v>46</v>
      </c>
      <c r="C272" t="s">
        <v>81</v>
      </c>
      <c r="D272">
        <v>1.1000000000000001</v>
      </c>
      <c r="E272" t="s">
        <v>24</v>
      </c>
      <c r="F272" t="s">
        <v>49</v>
      </c>
      <c r="G272">
        <v>4250</v>
      </c>
      <c r="H272">
        <v>26</v>
      </c>
      <c r="I272">
        <v>52</v>
      </c>
      <c r="J272">
        <v>22</v>
      </c>
      <c r="K272">
        <v>42.3</v>
      </c>
      <c r="L272" t="s">
        <v>26</v>
      </c>
      <c r="M272" t="s">
        <v>26</v>
      </c>
      <c r="N272" t="s">
        <v>26</v>
      </c>
      <c r="O272" t="s">
        <v>26</v>
      </c>
      <c r="P272" t="s">
        <v>27</v>
      </c>
      <c r="Q272" t="s">
        <v>28</v>
      </c>
      <c r="R272" s="7">
        <v>45865</v>
      </c>
      <c r="S272">
        <v>4.4000000000000004</v>
      </c>
      <c r="T272">
        <v>18</v>
      </c>
      <c r="U272" t="s">
        <v>29</v>
      </c>
    </row>
    <row r="273" spans="1:21" x14ac:dyDescent="0.3">
      <c r="A273" t="s">
        <v>333</v>
      </c>
      <c r="B273" t="s">
        <v>83</v>
      </c>
      <c r="C273" t="s">
        <v>44</v>
      </c>
      <c r="D273">
        <v>0.2</v>
      </c>
      <c r="E273" t="s">
        <v>24</v>
      </c>
      <c r="F273" t="s">
        <v>49</v>
      </c>
      <c r="G273">
        <v>5250</v>
      </c>
      <c r="H273">
        <v>35</v>
      </c>
      <c r="I273">
        <v>70</v>
      </c>
      <c r="J273">
        <v>41</v>
      </c>
      <c r="K273">
        <v>58.6</v>
      </c>
      <c r="L273" t="s">
        <v>27</v>
      </c>
      <c r="M273" t="s">
        <v>27</v>
      </c>
      <c r="N273" t="s">
        <v>26</v>
      </c>
      <c r="O273" t="s">
        <v>26</v>
      </c>
      <c r="P273" t="s">
        <v>26</v>
      </c>
      <c r="Q273" t="s">
        <v>28</v>
      </c>
      <c r="R273" s="7">
        <v>46035</v>
      </c>
      <c r="S273">
        <v>4.5999999999999996</v>
      </c>
      <c r="T273">
        <v>11</v>
      </c>
      <c r="U273" t="s">
        <v>29</v>
      </c>
    </row>
    <row r="274" spans="1:21" x14ac:dyDescent="0.3">
      <c r="A274" t="s">
        <v>334</v>
      </c>
      <c r="B274" t="s">
        <v>150</v>
      </c>
      <c r="C274" t="s">
        <v>38</v>
      </c>
      <c r="D274">
        <v>1.5</v>
      </c>
      <c r="E274" t="s">
        <v>54</v>
      </c>
      <c r="F274" t="s">
        <v>25</v>
      </c>
      <c r="G274">
        <v>12000</v>
      </c>
      <c r="H274">
        <v>25</v>
      </c>
      <c r="I274">
        <v>25</v>
      </c>
      <c r="J274">
        <v>12</v>
      </c>
      <c r="K274">
        <v>48</v>
      </c>
      <c r="L274" t="s">
        <v>26</v>
      </c>
      <c r="M274" t="s">
        <v>26</v>
      </c>
      <c r="N274" t="s">
        <v>27</v>
      </c>
      <c r="O274" t="s">
        <v>26</v>
      </c>
      <c r="P274" t="s">
        <v>26</v>
      </c>
      <c r="Q274" t="s">
        <v>28</v>
      </c>
      <c r="R274" s="7">
        <v>46218</v>
      </c>
      <c r="S274">
        <v>4.5</v>
      </c>
      <c r="T274">
        <v>0</v>
      </c>
      <c r="U274" t="s">
        <v>29</v>
      </c>
    </row>
    <row r="275" spans="1:21" x14ac:dyDescent="0.3">
      <c r="A275" t="s">
        <v>335</v>
      </c>
      <c r="B275" t="s">
        <v>62</v>
      </c>
      <c r="C275" t="s">
        <v>32</v>
      </c>
      <c r="D275">
        <v>5.8</v>
      </c>
      <c r="E275" t="s">
        <v>24</v>
      </c>
      <c r="F275" t="s">
        <v>25</v>
      </c>
      <c r="G275">
        <v>3750</v>
      </c>
      <c r="H275">
        <v>43</v>
      </c>
      <c r="I275">
        <v>86</v>
      </c>
      <c r="J275">
        <v>46</v>
      </c>
      <c r="K275">
        <v>53.5</v>
      </c>
      <c r="L275" t="s">
        <v>27</v>
      </c>
      <c r="M275" t="s">
        <v>26</v>
      </c>
      <c r="N275" t="s">
        <v>26</v>
      </c>
      <c r="O275" t="s">
        <v>27</v>
      </c>
      <c r="P275" t="s">
        <v>26</v>
      </c>
      <c r="Q275" t="s">
        <v>28</v>
      </c>
      <c r="R275" s="7">
        <v>46223</v>
      </c>
      <c r="S275">
        <v>3.4</v>
      </c>
      <c r="T275">
        <v>18</v>
      </c>
      <c r="U275" t="s">
        <v>29</v>
      </c>
    </row>
    <row r="276" spans="1:21" x14ac:dyDescent="0.3">
      <c r="A276" t="s">
        <v>336</v>
      </c>
      <c r="B276" t="s">
        <v>58</v>
      </c>
      <c r="C276" t="s">
        <v>44</v>
      </c>
      <c r="D276">
        <v>3.6</v>
      </c>
      <c r="E276" t="s">
        <v>54</v>
      </c>
      <c r="F276" t="s">
        <v>25</v>
      </c>
      <c r="G276">
        <v>8500</v>
      </c>
      <c r="H276">
        <v>31</v>
      </c>
      <c r="I276">
        <v>31</v>
      </c>
      <c r="J276">
        <v>26</v>
      </c>
      <c r="K276">
        <v>83.9</v>
      </c>
      <c r="L276" t="s">
        <v>26</v>
      </c>
      <c r="M276" t="s">
        <v>27</v>
      </c>
      <c r="N276" t="s">
        <v>27</v>
      </c>
      <c r="O276" t="s">
        <v>26</v>
      </c>
      <c r="P276" t="s">
        <v>26</v>
      </c>
      <c r="Q276" t="s">
        <v>28</v>
      </c>
      <c r="R276" s="7">
        <v>45677</v>
      </c>
      <c r="S276">
        <v>4.5999999999999996</v>
      </c>
      <c r="T276">
        <v>5</v>
      </c>
      <c r="U276" t="s">
        <v>29</v>
      </c>
    </row>
    <row r="277" spans="1:21" x14ac:dyDescent="0.3">
      <c r="A277" t="s">
        <v>337</v>
      </c>
      <c r="B277" t="s">
        <v>75</v>
      </c>
      <c r="C277" t="s">
        <v>64</v>
      </c>
      <c r="D277">
        <v>7.1</v>
      </c>
      <c r="E277" t="s">
        <v>54</v>
      </c>
      <c r="F277" t="s">
        <v>49</v>
      </c>
      <c r="G277">
        <v>7250</v>
      </c>
      <c r="H277">
        <v>39</v>
      </c>
      <c r="I277">
        <v>39</v>
      </c>
      <c r="J277">
        <v>20</v>
      </c>
      <c r="K277">
        <v>51.3</v>
      </c>
      <c r="L277" t="s">
        <v>26</v>
      </c>
      <c r="M277" t="s">
        <v>26</v>
      </c>
      <c r="N277" t="s">
        <v>26</v>
      </c>
      <c r="O277" t="s">
        <v>26</v>
      </c>
      <c r="P277" t="s">
        <v>26</v>
      </c>
      <c r="Q277" t="s">
        <v>35</v>
      </c>
      <c r="R277" s="7">
        <v>45731</v>
      </c>
      <c r="S277">
        <v>5</v>
      </c>
      <c r="T277">
        <v>16</v>
      </c>
      <c r="U277" t="s">
        <v>29</v>
      </c>
    </row>
    <row r="278" spans="1:21" x14ac:dyDescent="0.3">
      <c r="A278" t="s">
        <v>338</v>
      </c>
      <c r="B278" t="s">
        <v>37</v>
      </c>
      <c r="C278" t="s">
        <v>64</v>
      </c>
      <c r="D278">
        <v>6.9</v>
      </c>
      <c r="E278" t="s">
        <v>54</v>
      </c>
      <c r="F278" t="s">
        <v>34</v>
      </c>
      <c r="G278">
        <v>5750</v>
      </c>
      <c r="H278">
        <v>28</v>
      </c>
      <c r="I278">
        <v>28</v>
      </c>
      <c r="J278">
        <v>12</v>
      </c>
      <c r="K278">
        <v>42.9</v>
      </c>
      <c r="L278" t="s">
        <v>26</v>
      </c>
      <c r="M278" t="s">
        <v>27</v>
      </c>
      <c r="N278" t="s">
        <v>27</v>
      </c>
      <c r="O278" t="s">
        <v>26</v>
      </c>
      <c r="P278" t="s">
        <v>26</v>
      </c>
      <c r="Q278" t="s">
        <v>28</v>
      </c>
      <c r="R278" s="7">
        <v>46200</v>
      </c>
      <c r="S278">
        <v>3.5</v>
      </c>
      <c r="T278">
        <v>12</v>
      </c>
      <c r="U278" t="s">
        <v>29</v>
      </c>
    </row>
    <row r="279" spans="1:21" x14ac:dyDescent="0.3">
      <c r="A279" t="s">
        <v>339</v>
      </c>
      <c r="B279" t="s">
        <v>53</v>
      </c>
      <c r="C279" t="s">
        <v>41</v>
      </c>
      <c r="D279">
        <v>2.9</v>
      </c>
      <c r="E279" t="s">
        <v>24</v>
      </c>
      <c r="F279" t="s">
        <v>34</v>
      </c>
      <c r="G279">
        <v>7500</v>
      </c>
      <c r="H279">
        <v>33</v>
      </c>
      <c r="I279">
        <v>66</v>
      </c>
      <c r="J279">
        <v>45</v>
      </c>
      <c r="K279">
        <v>68.2</v>
      </c>
      <c r="L279" t="s">
        <v>26</v>
      </c>
      <c r="M279" t="s">
        <v>26</v>
      </c>
      <c r="N279" t="s">
        <v>27</v>
      </c>
      <c r="O279" t="s">
        <v>27</v>
      </c>
      <c r="P279" t="s">
        <v>27</v>
      </c>
      <c r="Q279" t="s">
        <v>65</v>
      </c>
      <c r="R279" s="7">
        <v>46020</v>
      </c>
      <c r="S279">
        <v>4.5999999999999996</v>
      </c>
      <c r="T279">
        <v>14</v>
      </c>
      <c r="U279" t="s">
        <v>29</v>
      </c>
    </row>
    <row r="280" spans="1:21" x14ac:dyDescent="0.3">
      <c r="A280" t="s">
        <v>340</v>
      </c>
      <c r="B280" t="s">
        <v>40</v>
      </c>
      <c r="C280" t="s">
        <v>38</v>
      </c>
      <c r="D280">
        <v>4</v>
      </c>
      <c r="E280" t="s">
        <v>33</v>
      </c>
      <c r="F280" t="s">
        <v>49</v>
      </c>
      <c r="G280">
        <v>3250</v>
      </c>
      <c r="H280">
        <v>17</v>
      </c>
      <c r="I280">
        <v>51</v>
      </c>
      <c r="J280">
        <v>28</v>
      </c>
      <c r="K280">
        <v>54.9</v>
      </c>
      <c r="L280" t="s">
        <v>26</v>
      </c>
      <c r="M280" t="s">
        <v>27</v>
      </c>
      <c r="N280" t="s">
        <v>27</v>
      </c>
      <c r="O280" t="s">
        <v>26</v>
      </c>
      <c r="P280" t="s">
        <v>26</v>
      </c>
      <c r="Q280" t="s">
        <v>28</v>
      </c>
      <c r="R280" s="7">
        <v>45828</v>
      </c>
      <c r="S280">
        <v>3.9</v>
      </c>
      <c r="T280">
        <v>10</v>
      </c>
      <c r="U280" t="s">
        <v>29</v>
      </c>
    </row>
    <row r="281" spans="1:21" x14ac:dyDescent="0.3">
      <c r="A281" t="s">
        <v>341</v>
      </c>
      <c r="B281" t="s">
        <v>150</v>
      </c>
      <c r="C281" t="s">
        <v>47</v>
      </c>
      <c r="D281">
        <v>4.5</v>
      </c>
      <c r="E281" t="s">
        <v>48</v>
      </c>
      <c r="F281" t="s">
        <v>34</v>
      </c>
      <c r="G281">
        <v>1800</v>
      </c>
      <c r="H281">
        <v>23</v>
      </c>
      <c r="I281">
        <v>92</v>
      </c>
      <c r="J281">
        <v>34</v>
      </c>
      <c r="K281">
        <v>37</v>
      </c>
      <c r="L281" t="s">
        <v>26</v>
      </c>
      <c r="M281" t="s">
        <v>26</v>
      </c>
      <c r="N281" t="s">
        <v>27</v>
      </c>
      <c r="O281" t="s">
        <v>26</v>
      </c>
      <c r="P281" t="s">
        <v>26</v>
      </c>
      <c r="Q281" t="s">
        <v>28</v>
      </c>
      <c r="R281" s="7">
        <v>45797</v>
      </c>
      <c r="S281">
        <v>3.4</v>
      </c>
      <c r="T281">
        <v>1</v>
      </c>
      <c r="U281" t="s">
        <v>29</v>
      </c>
    </row>
    <row r="282" spans="1:21" x14ac:dyDescent="0.3">
      <c r="A282" t="s">
        <v>342</v>
      </c>
      <c r="B282" t="s">
        <v>78</v>
      </c>
      <c r="C282" t="s">
        <v>44</v>
      </c>
      <c r="D282">
        <v>4</v>
      </c>
      <c r="E282" t="s">
        <v>48</v>
      </c>
      <c r="F282" t="s">
        <v>25</v>
      </c>
      <c r="G282">
        <v>4050</v>
      </c>
      <c r="H282">
        <v>44</v>
      </c>
      <c r="I282">
        <v>176</v>
      </c>
      <c r="J282">
        <v>142</v>
      </c>
      <c r="K282">
        <v>80.7</v>
      </c>
      <c r="L282" t="s">
        <v>27</v>
      </c>
      <c r="M282" t="s">
        <v>27</v>
      </c>
      <c r="N282" t="s">
        <v>26</v>
      </c>
      <c r="O282" t="s">
        <v>26</v>
      </c>
      <c r="P282" t="s">
        <v>26</v>
      </c>
      <c r="Q282" t="s">
        <v>28</v>
      </c>
      <c r="R282" s="7">
        <v>45686</v>
      </c>
      <c r="S282">
        <v>4.5</v>
      </c>
      <c r="T282">
        <v>15</v>
      </c>
      <c r="U282" t="s">
        <v>29</v>
      </c>
    </row>
    <row r="283" spans="1:21" x14ac:dyDescent="0.3">
      <c r="A283" t="s">
        <v>343</v>
      </c>
      <c r="B283" t="s">
        <v>75</v>
      </c>
      <c r="C283" t="s">
        <v>44</v>
      </c>
      <c r="D283">
        <v>4.7</v>
      </c>
      <c r="E283" t="s">
        <v>33</v>
      </c>
      <c r="F283" t="s">
        <v>34</v>
      </c>
      <c r="G283">
        <v>3000</v>
      </c>
      <c r="H283">
        <v>29</v>
      </c>
      <c r="I283">
        <v>87</v>
      </c>
      <c r="J283">
        <v>59</v>
      </c>
      <c r="K283">
        <v>67.8</v>
      </c>
      <c r="L283" t="s">
        <v>26</v>
      </c>
      <c r="M283" t="s">
        <v>26</v>
      </c>
      <c r="N283" t="s">
        <v>26</v>
      </c>
      <c r="O283" t="s">
        <v>26</v>
      </c>
      <c r="P283" t="s">
        <v>27</v>
      </c>
      <c r="Q283" t="s">
        <v>28</v>
      </c>
      <c r="R283" s="7">
        <v>45737</v>
      </c>
      <c r="S283">
        <v>4.9000000000000004</v>
      </c>
      <c r="T283">
        <v>0</v>
      </c>
      <c r="U283" t="s">
        <v>29</v>
      </c>
    </row>
    <row r="284" spans="1:21" x14ac:dyDescent="0.3">
      <c r="A284" t="s">
        <v>344</v>
      </c>
      <c r="B284" t="s">
        <v>53</v>
      </c>
      <c r="C284" t="s">
        <v>32</v>
      </c>
      <c r="D284">
        <v>6.2</v>
      </c>
      <c r="E284" t="s">
        <v>54</v>
      </c>
      <c r="F284" t="s">
        <v>34</v>
      </c>
      <c r="G284">
        <v>6750</v>
      </c>
      <c r="H284">
        <v>38</v>
      </c>
      <c r="I284">
        <v>38</v>
      </c>
      <c r="J284">
        <v>32</v>
      </c>
      <c r="K284">
        <v>84.2</v>
      </c>
      <c r="L284" t="s">
        <v>26</v>
      </c>
      <c r="M284" t="s">
        <v>26</v>
      </c>
      <c r="N284" t="s">
        <v>26</v>
      </c>
      <c r="O284" t="s">
        <v>26</v>
      </c>
      <c r="P284" t="s">
        <v>26</v>
      </c>
      <c r="Q284" t="s">
        <v>35</v>
      </c>
      <c r="R284" s="7">
        <v>45706</v>
      </c>
      <c r="S284">
        <v>3.5</v>
      </c>
      <c r="T284">
        <v>13</v>
      </c>
      <c r="U284" t="s">
        <v>29</v>
      </c>
    </row>
    <row r="285" spans="1:21" x14ac:dyDescent="0.3">
      <c r="A285" t="s">
        <v>345</v>
      </c>
      <c r="B285" t="s">
        <v>53</v>
      </c>
      <c r="C285" t="s">
        <v>32</v>
      </c>
      <c r="D285">
        <v>1.9</v>
      </c>
      <c r="E285" t="s">
        <v>48</v>
      </c>
      <c r="F285" t="s">
        <v>49</v>
      </c>
      <c r="G285">
        <v>3300</v>
      </c>
      <c r="H285">
        <v>30</v>
      </c>
      <c r="I285">
        <v>120</v>
      </c>
      <c r="J285">
        <v>117</v>
      </c>
      <c r="K285">
        <v>97.5</v>
      </c>
      <c r="L285" t="s">
        <v>27</v>
      </c>
      <c r="M285" t="s">
        <v>26</v>
      </c>
      <c r="N285" t="s">
        <v>26</v>
      </c>
      <c r="O285" t="s">
        <v>27</v>
      </c>
      <c r="P285" t="s">
        <v>26</v>
      </c>
      <c r="Q285" t="s">
        <v>28</v>
      </c>
      <c r="R285" s="7">
        <v>45767</v>
      </c>
      <c r="S285">
        <v>3.9</v>
      </c>
      <c r="T285">
        <v>2</v>
      </c>
      <c r="U285" t="s">
        <v>29</v>
      </c>
    </row>
    <row r="286" spans="1:21" x14ac:dyDescent="0.3">
      <c r="A286" t="s">
        <v>346</v>
      </c>
      <c r="B286" t="s">
        <v>60</v>
      </c>
      <c r="C286" t="s">
        <v>32</v>
      </c>
      <c r="D286">
        <v>2.1</v>
      </c>
      <c r="E286" t="s">
        <v>54</v>
      </c>
      <c r="F286" t="s">
        <v>25</v>
      </c>
      <c r="G286">
        <v>11000</v>
      </c>
      <c r="H286">
        <v>8</v>
      </c>
      <c r="I286">
        <v>8</v>
      </c>
      <c r="J286">
        <v>6</v>
      </c>
      <c r="K286">
        <v>75</v>
      </c>
      <c r="L286" t="s">
        <v>26</v>
      </c>
      <c r="M286" t="s">
        <v>26</v>
      </c>
      <c r="N286" t="s">
        <v>26</v>
      </c>
      <c r="O286" t="s">
        <v>26</v>
      </c>
      <c r="P286" t="s">
        <v>26</v>
      </c>
      <c r="Q286" t="s">
        <v>35</v>
      </c>
      <c r="R286" s="7">
        <v>46202</v>
      </c>
      <c r="S286">
        <v>3.8</v>
      </c>
      <c r="T286">
        <v>13</v>
      </c>
      <c r="U286" t="s">
        <v>29</v>
      </c>
    </row>
    <row r="287" spans="1:21" x14ac:dyDescent="0.3">
      <c r="A287" t="s">
        <v>347</v>
      </c>
      <c r="B287" t="s">
        <v>62</v>
      </c>
      <c r="C287" t="s">
        <v>41</v>
      </c>
      <c r="D287">
        <v>2.1</v>
      </c>
      <c r="E287" t="s">
        <v>48</v>
      </c>
      <c r="F287" t="s">
        <v>25</v>
      </c>
      <c r="G287">
        <v>4050</v>
      </c>
      <c r="H287">
        <v>31</v>
      </c>
      <c r="I287">
        <v>124</v>
      </c>
      <c r="J287">
        <v>121</v>
      </c>
      <c r="K287">
        <v>97.6</v>
      </c>
      <c r="L287" t="s">
        <v>27</v>
      </c>
      <c r="M287" t="s">
        <v>26</v>
      </c>
      <c r="N287" t="s">
        <v>26</v>
      </c>
      <c r="O287" t="s">
        <v>27</v>
      </c>
      <c r="P287" t="s">
        <v>26</v>
      </c>
      <c r="Q287" t="s">
        <v>28</v>
      </c>
      <c r="R287" s="7">
        <v>45949</v>
      </c>
      <c r="S287">
        <v>4.2</v>
      </c>
      <c r="T287">
        <v>11</v>
      </c>
      <c r="U287" t="s">
        <v>29</v>
      </c>
    </row>
    <row r="288" spans="1:21" x14ac:dyDescent="0.3">
      <c r="A288" t="s">
        <v>348</v>
      </c>
      <c r="B288" t="s">
        <v>72</v>
      </c>
      <c r="C288" t="s">
        <v>64</v>
      </c>
      <c r="D288">
        <v>2.1</v>
      </c>
      <c r="E288" t="s">
        <v>33</v>
      </c>
      <c r="F288" t="s">
        <v>49</v>
      </c>
      <c r="G288">
        <v>4750</v>
      </c>
      <c r="H288">
        <v>30</v>
      </c>
      <c r="I288">
        <v>90</v>
      </c>
      <c r="J288">
        <v>80</v>
      </c>
      <c r="K288">
        <v>88.9</v>
      </c>
      <c r="L288" t="s">
        <v>26</v>
      </c>
      <c r="M288" t="s">
        <v>27</v>
      </c>
      <c r="N288" t="s">
        <v>27</v>
      </c>
      <c r="O288" t="s">
        <v>26</v>
      </c>
      <c r="P288" t="s">
        <v>26</v>
      </c>
      <c r="Q288" t="s">
        <v>28</v>
      </c>
      <c r="R288" s="7">
        <v>46074</v>
      </c>
      <c r="S288">
        <v>4.5</v>
      </c>
      <c r="T288">
        <v>5</v>
      </c>
      <c r="U288" t="s">
        <v>29</v>
      </c>
    </row>
    <row r="289" spans="1:21" x14ac:dyDescent="0.3">
      <c r="A289" t="s">
        <v>349</v>
      </c>
      <c r="B289" t="s">
        <v>72</v>
      </c>
      <c r="C289" t="s">
        <v>23</v>
      </c>
      <c r="D289">
        <v>1.4</v>
      </c>
      <c r="E289" t="s">
        <v>54</v>
      </c>
      <c r="F289" t="s">
        <v>34</v>
      </c>
      <c r="G289">
        <v>11750</v>
      </c>
      <c r="H289">
        <v>13</v>
      </c>
      <c r="I289">
        <v>13</v>
      </c>
      <c r="J289">
        <v>6</v>
      </c>
      <c r="K289">
        <v>46.2</v>
      </c>
      <c r="L289" t="s">
        <v>26</v>
      </c>
      <c r="M289" t="s">
        <v>26</v>
      </c>
      <c r="N289" t="s">
        <v>26</v>
      </c>
      <c r="O289" t="s">
        <v>27</v>
      </c>
      <c r="P289" t="s">
        <v>26</v>
      </c>
      <c r="Q289" t="s">
        <v>28</v>
      </c>
      <c r="R289" s="7">
        <v>46149</v>
      </c>
      <c r="S289">
        <v>4.4000000000000004</v>
      </c>
      <c r="T289">
        <v>11</v>
      </c>
      <c r="U289" t="s">
        <v>29</v>
      </c>
    </row>
    <row r="290" spans="1:21" x14ac:dyDescent="0.3">
      <c r="A290" t="s">
        <v>350</v>
      </c>
      <c r="B290" t="s">
        <v>60</v>
      </c>
      <c r="C290" t="s">
        <v>23</v>
      </c>
      <c r="D290">
        <v>5.5</v>
      </c>
      <c r="E290" t="s">
        <v>48</v>
      </c>
      <c r="F290" t="s">
        <v>25</v>
      </c>
      <c r="G290">
        <v>4050</v>
      </c>
      <c r="H290">
        <v>41</v>
      </c>
      <c r="I290">
        <v>164</v>
      </c>
      <c r="J290">
        <v>93</v>
      </c>
      <c r="K290">
        <v>56.7</v>
      </c>
      <c r="L290" t="s">
        <v>26</v>
      </c>
      <c r="M290" t="s">
        <v>26</v>
      </c>
      <c r="N290" t="s">
        <v>26</v>
      </c>
      <c r="O290" t="s">
        <v>26</v>
      </c>
      <c r="P290" t="s">
        <v>27</v>
      </c>
      <c r="Q290" t="s">
        <v>28</v>
      </c>
      <c r="R290" s="7">
        <v>45725</v>
      </c>
      <c r="S290">
        <v>4</v>
      </c>
      <c r="T290">
        <v>16</v>
      </c>
      <c r="U290" t="s">
        <v>29</v>
      </c>
    </row>
    <row r="291" spans="1:21" x14ac:dyDescent="0.3">
      <c r="A291" t="s">
        <v>351</v>
      </c>
      <c r="B291" t="s">
        <v>53</v>
      </c>
      <c r="C291" t="s">
        <v>47</v>
      </c>
      <c r="D291">
        <v>4.7</v>
      </c>
      <c r="E291" t="s">
        <v>54</v>
      </c>
      <c r="F291" t="s">
        <v>25</v>
      </c>
      <c r="G291">
        <v>8250</v>
      </c>
      <c r="H291">
        <v>23</v>
      </c>
      <c r="I291">
        <v>23</v>
      </c>
      <c r="J291">
        <v>8</v>
      </c>
      <c r="K291">
        <v>34.799999999999997</v>
      </c>
      <c r="L291" t="s">
        <v>26</v>
      </c>
      <c r="M291" t="s">
        <v>27</v>
      </c>
      <c r="N291" t="s">
        <v>26</v>
      </c>
      <c r="O291" t="s">
        <v>26</v>
      </c>
      <c r="P291" t="s">
        <v>26</v>
      </c>
      <c r="Q291" t="s">
        <v>28</v>
      </c>
      <c r="R291" s="7">
        <v>45828</v>
      </c>
      <c r="S291">
        <v>4.0999999999999996</v>
      </c>
      <c r="T291">
        <v>12</v>
      </c>
      <c r="U291" t="s">
        <v>29</v>
      </c>
    </row>
    <row r="292" spans="1:21" x14ac:dyDescent="0.3">
      <c r="A292" t="s">
        <v>352</v>
      </c>
      <c r="B292" t="s">
        <v>31</v>
      </c>
      <c r="C292" t="s">
        <v>23</v>
      </c>
      <c r="D292">
        <v>5.6</v>
      </c>
      <c r="E292" t="s">
        <v>54</v>
      </c>
      <c r="F292" t="s">
        <v>49</v>
      </c>
      <c r="G292">
        <v>6000</v>
      </c>
      <c r="H292">
        <v>43</v>
      </c>
      <c r="I292">
        <v>43</v>
      </c>
      <c r="J292">
        <v>24</v>
      </c>
      <c r="K292">
        <v>55.8</v>
      </c>
      <c r="L292" t="s">
        <v>26</v>
      </c>
      <c r="M292" t="s">
        <v>27</v>
      </c>
      <c r="N292" t="s">
        <v>26</v>
      </c>
      <c r="O292" t="s">
        <v>26</v>
      </c>
      <c r="P292" t="s">
        <v>26</v>
      </c>
      <c r="Q292" t="s">
        <v>28</v>
      </c>
      <c r="R292" s="7">
        <v>46023</v>
      </c>
      <c r="S292">
        <v>3.6</v>
      </c>
      <c r="T292">
        <v>12</v>
      </c>
      <c r="U292" t="s">
        <v>29</v>
      </c>
    </row>
    <row r="293" spans="1:21" x14ac:dyDescent="0.3">
      <c r="A293" t="s">
        <v>353</v>
      </c>
      <c r="B293" t="s">
        <v>53</v>
      </c>
      <c r="C293" t="s">
        <v>38</v>
      </c>
      <c r="D293">
        <v>4.3</v>
      </c>
      <c r="E293" t="s">
        <v>33</v>
      </c>
      <c r="F293" t="s">
        <v>49</v>
      </c>
      <c r="G293">
        <v>3750</v>
      </c>
      <c r="H293">
        <v>15</v>
      </c>
      <c r="I293">
        <v>45</v>
      </c>
      <c r="J293">
        <v>40</v>
      </c>
      <c r="K293">
        <v>88.9</v>
      </c>
      <c r="L293" t="s">
        <v>27</v>
      </c>
      <c r="M293" t="s">
        <v>27</v>
      </c>
      <c r="N293" t="s">
        <v>27</v>
      </c>
      <c r="O293" t="s">
        <v>26</v>
      </c>
      <c r="P293" t="s">
        <v>26</v>
      </c>
      <c r="Q293" t="s">
        <v>65</v>
      </c>
      <c r="R293" s="7">
        <v>46192</v>
      </c>
      <c r="S293">
        <v>3.8</v>
      </c>
      <c r="T293">
        <v>18</v>
      </c>
      <c r="U293" t="s">
        <v>29</v>
      </c>
    </row>
    <row r="294" spans="1:21" x14ac:dyDescent="0.3">
      <c r="A294" t="s">
        <v>354</v>
      </c>
      <c r="B294" t="s">
        <v>40</v>
      </c>
      <c r="C294" t="s">
        <v>81</v>
      </c>
      <c r="D294">
        <v>7.2</v>
      </c>
      <c r="E294" t="s">
        <v>48</v>
      </c>
      <c r="F294" t="s">
        <v>49</v>
      </c>
      <c r="G294">
        <v>4300</v>
      </c>
      <c r="H294">
        <v>37</v>
      </c>
      <c r="I294">
        <v>148</v>
      </c>
      <c r="J294">
        <v>126</v>
      </c>
      <c r="K294">
        <v>85.1</v>
      </c>
      <c r="L294" t="s">
        <v>26</v>
      </c>
      <c r="M294" t="s">
        <v>27</v>
      </c>
      <c r="N294" t="s">
        <v>26</v>
      </c>
      <c r="O294" t="s">
        <v>27</v>
      </c>
      <c r="P294" t="s">
        <v>26</v>
      </c>
      <c r="Q294" t="s">
        <v>28</v>
      </c>
      <c r="R294" s="7">
        <v>45695</v>
      </c>
      <c r="S294">
        <v>3.8</v>
      </c>
      <c r="T294">
        <v>7</v>
      </c>
      <c r="U294" t="s">
        <v>29</v>
      </c>
    </row>
    <row r="295" spans="1:21" x14ac:dyDescent="0.3">
      <c r="A295" t="s">
        <v>355</v>
      </c>
      <c r="B295" t="s">
        <v>83</v>
      </c>
      <c r="C295" t="s">
        <v>81</v>
      </c>
      <c r="D295">
        <v>4</v>
      </c>
      <c r="E295" t="s">
        <v>54</v>
      </c>
      <c r="F295" t="s">
        <v>34</v>
      </c>
      <c r="G295">
        <v>11000</v>
      </c>
      <c r="H295">
        <v>24</v>
      </c>
      <c r="I295">
        <v>24</v>
      </c>
      <c r="J295">
        <v>15</v>
      </c>
      <c r="K295">
        <v>62.5</v>
      </c>
      <c r="L295" t="s">
        <v>26</v>
      </c>
      <c r="M295" t="s">
        <v>26</v>
      </c>
      <c r="N295" t="s">
        <v>27</v>
      </c>
      <c r="O295" t="s">
        <v>26</v>
      </c>
      <c r="P295" t="s">
        <v>27</v>
      </c>
      <c r="Q295" t="s">
        <v>28</v>
      </c>
      <c r="R295" s="7">
        <v>45961</v>
      </c>
      <c r="S295">
        <v>3.6</v>
      </c>
      <c r="T295">
        <v>17</v>
      </c>
      <c r="U295" t="s">
        <v>29</v>
      </c>
    </row>
    <row r="296" spans="1:21" x14ac:dyDescent="0.3">
      <c r="A296" t="s">
        <v>356</v>
      </c>
      <c r="B296" t="s">
        <v>150</v>
      </c>
      <c r="C296" t="s">
        <v>81</v>
      </c>
      <c r="D296">
        <v>2.8</v>
      </c>
      <c r="E296" t="s">
        <v>33</v>
      </c>
      <c r="F296" t="s">
        <v>49</v>
      </c>
      <c r="G296">
        <v>3000</v>
      </c>
      <c r="H296">
        <v>20</v>
      </c>
      <c r="I296">
        <v>60</v>
      </c>
      <c r="J296">
        <v>52</v>
      </c>
      <c r="K296">
        <v>86.7</v>
      </c>
      <c r="L296" t="s">
        <v>26</v>
      </c>
      <c r="M296" t="s">
        <v>26</v>
      </c>
      <c r="N296" t="s">
        <v>26</v>
      </c>
      <c r="O296" t="s">
        <v>26</v>
      </c>
      <c r="P296" t="s">
        <v>26</v>
      </c>
      <c r="Q296" t="s">
        <v>35</v>
      </c>
      <c r="R296" s="7">
        <v>45871</v>
      </c>
      <c r="S296">
        <v>4.5</v>
      </c>
      <c r="T296">
        <v>6</v>
      </c>
      <c r="U296" t="s">
        <v>29</v>
      </c>
    </row>
    <row r="297" spans="1:21" x14ac:dyDescent="0.3">
      <c r="A297" t="s">
        <v>357</v>
      </c>
      <c r="B297" t="s">
        <v>75</v>
      </c>
      <c r="C297" t="s">
        <v>38</v>
      </c>
      <c r="D297">
        <v>1.1000000000000001</v>
      </c>
      <c r="E297" t="s">
        <v>54</v>
      </c>
      <c r="F297" t="s">
        <v>49</v>
      </c>
      <c r="G297">
        <v>10750</v>
      </c>
      <c r="H297">
        <v>39</v>
      </c>
      <c r="I297">
        <v>39</v>
      </c>
      <c r="J297">
        <v>32</v>
      </c>
      <c r="K297">
        <v>82.1</v>
      </c>
      <c r="L297" t="s">
        <v>26</v>
      </c>
      <c r="M297" t="s">
        <v>27</v>
      </c>
      <c r="N297" t="s">
        <v>26</v>
      </c>
      <c r="O297" t="s">
        <v>26</v>
      </c>
      <c r="P297" t="s">
        <v>27</v>
      </c>
      <c r="Q297" t="s">
        <v>28</v>
      </c>
      <c r="R297" s="7">
        <v>45673</v>
      </c>
      <c r="S297">
        <v>3.1</v>
      </c>
      <c r="T297">
        <v>18</v>
      </c>
      <c r="U297" t="s">
        <v>29</v>
      </c>
    </row>
    <row r="298" spans="1:21" x14ac:dyDescent="0.3">
      <c r="A298" t="s">
        <v>358</v>
      </c>
      <c r="B298" t="s">
        <v>150</v>
      </c>
      <c r="C298" t="s">
        <v>44</v>
      </c>
      <c r="D298">
        <v>7.4</v>
      </c>
      <c r="E298" t="s">
        <v>33</v>
      </c>
      <c r="F298" t="s">
        <v>49</v>
      </c>
      <c r="G298">
        <v>4000</v>
      </c>
      <c r="H298">
        <v>22</v>
      </c>
      <c r="I298">
        <v>66</v>
      </c>
      <c r="J298">
        <v>59</v>
      </c>
      <c r="K298">
        <v>89.4</v>
      </c>
      <c r="L298" t="s">
        <v>26</v>
      </c>
      <c r="M298" t="s">
        <v>26</v>
      </c>
      <c r="N298" t="s">
        <v>26</v>
      </c>
      <c r="O298" t="s">
        <v>26</v>
      </c>
      <c r="P298" t="s">
        <v>27</v>
      </c>
      <c r="Q298" t="s">
        <v>28</v>
      </c>
      <c r="R298" s="7">
        <v>45798</v>
      </c>
      <c r="S298">
        <v>4.5999999999999996</v>
      </c>
      <c r="T298">
        <v>12</v>
      </c>
      <c r="U298" t="s">
        <v>29</v>
      </c>
    </row>
    <row r="299" spans="1:21" x14ac:dyDescent="0.3">
      <c r="A299" t="s">
        <v>359</v>
      </c>
      <c r="B299" t="s">
        <v>22</v>
      </c>
      <c r="C299" t="s">
        <v>64</v>
      </c>
      <c r="D299">
        <v>2.5</v>
      </c>
      <c r="E299" t="s">
        <v>54</v>
      </c>
      <c r="F299" t="s">
        <v>49</v>
      </c>
      <c r="G299">
        <v>5500</v>
      </c>
      <c r="H299">
        <v>21</v>
      </c>
      <c r="I299">
        <v>21</v>
      </c>
      <c r="J299">
        <v>13</v>
      </c>
      <c r="K299">
        <v>61.9</v>
      </c>
      <c r="L299" t="s">
        <v>26</v>
      </c>
      <c r="M299" t="s">
        <v>26</v>
      </c>
      <c r="N299" t="s">
        <v>27</v>
      </c>
      <c r="O299" t="s">
        <v>26</v>
      </c>
      <c r="P299" t="s">
        <v>26</v>
      </c>
      <c r="Q299" t="s">
        <v>28</v>
      </c>
      <c r="R299" s="7">
        <v>45770</v>
      </c>
      <c r="S299">
        <v>3.3</v>
      </c>
      <c r="T299">
        <v>17</v>
      </c>
      <c r="U299" t="s">
        <v>29</v>
      </c>
    </row>
    <row r="300" spans="1:21" x14ac:dyDescent="0.3">
      <c r="A300" t="s">
        <v>360</v>
      </c>
      <c r="B300" t="s">
        <v>40</v>
      </c>
      <c r="C300" t="s">
        <v>41</v>
      </c>
      <c r="D300">
        <v>3.6</v>
      </c>
      <c r="E300" t="s">
        <v>33</v>
      </c>
      <c r="F300" t="s">
        <v>34</v>
      </c>
      <c r="G300">
        <v>3750</v>
      </c>
      <c r="H300">
        <v>19</v>
      </c>
      <c r="I300">
        <v>57</v>
      </c>
      <c r="J300">
        <v>50</v>
      </c>
      <c r="K300">
        <v>87.7</v>
      </c>
      <c r="L300" t="s">
        <v>26</v>
      </c>
      <c r="M300" t="s">
        <v>26</v>
      </c>
      <c r="N300" t="s">
        <v>27</v>
      </c>
      <c r="O300" t="s">
        <v>26</v>
      </c>
      <c r="P300" t="s">
        <v>27</v>
      </c>
      <c r="Q300" t="s">
        <v>28</v>
      </c>
      <c r="R300" s="7">
        <v>46101</v>
      </c>
      <c r="S300">
        <v>3.9</v>
      </c>
      <c r="T300">
        <v>12</v>
      </c>
      <c r="U300" t="s">
        <v>29</v>
      </c>
    </row>
    <row r="301" spans="1:21" x14ac:dyDescent="0.3">
      <c r="A301" t="s">
        <v>361</v>
      </c>
      <c r="B301" t="s">
        <v>62</v>
      </c>
      <c r="C301" t="s">
        <v>47</v>
      </c>
      <c r="D301">
        <v>6.1</v>
      </c>
      <c r="E301" t="s">
        <v>33</v>
      </c>
      <c r="F301" t="s">
        <v>34</v>
      </c>
      <c r="G301">
        <v>5500</v>
      </c>
      <c r="H301">
        <v>23</v>
      </c>
      <c r="I301">
        <v>69</v>
      </c>
      <c r="J301">
        <v>59</v>
      </c>
      <c r="K301">
        <v>85.5</v>
      </c>
      <c r="L301" t="s">
        <v>26</v>
      </c>
      <c r="M301" t="s">
        <v>27</v>
      </c>
      <c r="N301" t="s">
        <v>26</v>
      </c>
      <c r="O301" t="s">
        <v>27</v>
      </c>
      <c r="P301" t="s">
        <v>26</v>
      </c>
      <c r="Q301" t="s">
        <v>28</v>
      </c>
      <c r="R301" s="7">
        <v>46109</v>
      </c>
      <c r="S301">
        <v>4.3</v>
      </c>
      <c r="T301">
        <v>0</v>
      </c>
      <c r="U301" t="s">
        <v>29</v>
      </c>
    </row>
    <row r="302" spans="1:21" x14ac:dyDescent="0.3">
      <c r="A302" t="s">
        <v>362</v>
      </c>
      <c r="B302" t="s">
        <v>83</v>
      </c>
      <c r="C302" t="s">
        <v>64</v>
      </c>
      <c r="D302">
        <v>1.2</v>
      </c>
      <c r="E302" t="s">
        <v>33</v>
      </c>
      <c r="F302" t="s">
        <v>25</v>
      </c>
      <c r="G302">
        <v>5500</v>
      </c>
      <c r="H302">
        <v>39</v>
      </c>
      <c r="I302">
        <v>117</v>
      </c>
      <c r="J302">
        <v>78</v>
      </c>
      <c r="K302">
        <v>66.7</v>
      </c>
      <c r="L302" t="s">
        <v>26</v>
      </c>
      <c r="M302" t="s">
        <v>26</v>
      </c>
      <c r="N302" t="s">
        <v>26</v>
      </c>
      <c r="O302" t="s">
        <v>26</v>
      </c>
      <c r="P302" t="s">
        <v>27</v>
      </c>
      <c r="Q302" t="s">
        <v>28</v>
      </c>
      <c r="R302" s="7">
        <v>45923</v>
      </c>
      <c r="S302">
        <v>4.2</v>
      </c>
      <c r="T302">
        <v>6</v>
      </c>
      <c r="U302" t="s">
        <v>29</v>
      </c>
    </row>
    <row r="303" spans="1:21" x14ac:dyDescent="0.3">
      <c r="A303" t="s">
        <v>363</v>
      </c>
      <c r="B303" t="s">
        <v>22</v>
      </c>
      <c r="C303" t="s">
        <v>64</v>
      </c>
      <c r="D303">
        <v>5.6</v>
      </c>
      <c r="E303" t="s">
        <v>33</v>
      </c>
      <c r="F303" t="s">
        <v>25</v>
      </c>
      <c r="G303">
        <v>3750</v>
      </c>
      <c r="H303">
        <v>31</v>
      </c>
      <c r="I303">
        <v>93</v>
      </c>
      <c r="J303">
        <v>67</v>
      </c>
      <c r="K303">
        <v>72</v>
      </c>
      <c r="L303" t="s">
        <v>26</v>
      </c>
      <c r="M303" t="s">
        <v>26</v>
      </c>
      <c r="N303" t="s">
        <v>26</v>
      </c>
      <c r="O303" t="s">
        <v>26</v>
      </c>
      <c r="P303" t="s">
        <v>26</v>
      </c>
      <c r="Q303" t="s">
        <v>35</v>
      </c>
      <c r="R303" s="7">
        <v>45930</v>
      </c>
      <c r="S303">
        <v>3.4</v>
      </c>
      <c r="T303">
        <v>6</v>
      </c>
      <c r="U303" t="s">
        <v>29</v>
      </c>
    </row>
    <row r="304" spans="1:21" x14ac:dyDescent="0.3">
      <c r="A304" t="s">
        <v>364</v>
      </c>
      <c r="B304" t="s">
        <v>62</v>
      </c>
      <c r="C304" t="s">
        <v>44</v>
      </c>
      <c r="D304">
        <v>7.3</v>
      </c>
      <c r="E304" t="s">
        <v>33</v>
      </c>
      <c r="F304" t="s">
        <v>34</v>
      </c>
      <c r="G304">
        <v>3750</v>
      </c>
      <c r="H304">
        <v>28</v>
      </c>
      <c r="I304">
        <v>84</v>
      </c>
      <c r="J304">
        <v>72</v>
      </c>
      <c r="K304">
        <v>85.7</v>
      </c>
      <c r="L304" t="s">
        <v>27</v>
      </c>
      <c r="M304" t="s">
        <v>26</v>
      </c>
      <c r="N304" t="s">
        <v>26</v>
      </c>
      <c r="O304" t="s">
        <v>27</v>
      </c>
      <c r="P304" t="s">
        <v>27</v>
      </c>
      <c r="Q304" t="s">
        <v>65</v>
      </c>
      <c r="R304" s="7">
        <v>46189</v>
      </c>
      <c r="S304">
        <v>3.8</v>
      </c>
      <c r="T304">
        <v>14</v>
      </c>
      <c r="U304" t="s">
        <v>29</v>
      </c>
    </row>
    <row r="305" spans="1:21" x14ac:dyDescent="0.3">
      <c r="A305" t="s">
        <v>365</v>
      </c>
      <c r="B305" t="s">
        <v>46</v>
      </c>
      <c r="C305" t="s">
        <v>32</v>
      </c>
      <c r="D305">
        <v>4.8</v>
      </c>
      <c r="E305" t="s">
        <v>48</v>
      </c>
      <c r="F305" t="s">
        <v>49</v>
      </c>
      <c r="G305">
        <v>2050</v>
      </c>
      <c r="H305">
        <v>13</v>
      </c>
      <c r="I305">
        <v>52</v>
      </c>
      <c r="J305">
        <v>28</v>
      </c>
      <c r="K305">
        <v>53.8</v>
      </c>
      <c r="L305" t="s">
        <v>26</v>
      </c>
      <c r="M305" t="s">
        <v>26</v>
      </c>
      <c r="N305" t="s">
        <v>26</v>
      </c>
      <c r="O305" t="s">
        <v>26</v>
      </c>
      <c r="P305" t="s">
        <v>26</v>
      </c>
      <c r="Q305" t="s">
        <v>35</v>
      </c>
      <c r="R305" s="7">
        <v>46018</v>
      </c>
      <c r="S305">
        <v>3.8</v>
      </c>
      <c r="T305">
        <v>12</v>
      </c>
      <c r="U305" t="s">
        <v>29</v>
      </c>
    </row>
    <row r="306" spans="1:21" x14ac:dyDescent="0.3">
      <c r="A306" t="s">
        <v>366</v>
      </c>
      <c r="B306" t="s">
        <v>85</v>
      </c>
      <c r="C306" t="s">
        <v>81</v>
      </c>
      <c r="D306">
        <v>5.7</v>
      </c>
      <c r="E306" t="s">
        <v>48</v>
      </c>
      <c r="F306" t="s">
        <v>34</v>
      </c>
      <c r="G306">
        <v>3300</v>
      </c>
      <c r="H306">
        <v>18</v>
      </c>
      <c r="I306">
        <v>72</v>
      </c>
      <c r="J306">
        <v>36</v>
      </c>
      <c r="K306">
        <v>50</v>
      </c>
      <c r="L306" t="s">
        <v>26</v>
      </c>
      <c r="M306" t="s">
        <v>26</v>
      </c>
      <c r="N306" t="s">
        <v>27</v>
      </c>
      <c r="O306" t="s">
        <v>26</v>
      </c>
      <c r="P306" t="s">
        <v>26</v>
      </c>
      <c r="Q306" t="s">
        <v>28</v>
      </c>
      <c r="R306" s="7">
        <v>45690</v>
      </c>
      <c r="S306">
        <v>4.0999999999999996</v>
      </c>
      <c r="T306">
        <v>6</v>
      </c>
      <c r="U306" t="s">
        <v>29</v>
      </c>
    </row>
    <row r="307" spans="1:21" x14ac:dyDescent="0.3">
      <c r="A307" t="s">
        <v>367</v>
      </c>
      <c r="B307" t="s">
        <v>150</v>
      </c>
      <c r="C307" t="s">
        <v>23</v>
      </c>
      <c r="D307">
        <v>0.4</v>
      </c>
      <c r="E307" t="s">
        <v>48</v>
      </c>
      <c r="F307" t="s">
        <v>34</v>
      </c>
      <c r="G307">
        <v>3800</v>
      </c>
      <c r="H307">
        <v>13</v>
      </c>
      <c r="I307">
        <v>52</v>
      </c>
      <c r="J307">
        <v>24</v>
      </c>
      <c r="K307">
        <v>46.2</v>
      </c>
      <c r="L307" t="s">
        <v>27</v>
      </c>
      <c r="M307" t="s">
        <v>26</v>
      </c>
      <c r="N307" t="s">
        <v>27</v>
      </c>
      <c r="O307" t="s">
        <v>26</v>
      </c>
      <c r="P307" t="s">
        <v>26</v>
      </c>
      <c r="Q307" t="s">
        <v>28</v>
      </c>
      <c r="R307" s="7">
        <v>45935</v>
      </c>
      <c r="S307">
        <v>4.2</v>
      </c>
      <c r="T307">
        <v>7</v>
      </c>
      <c r="U307" t="s">
        <v>29</v>
      </c>
    </row>
    <row r="308" spans="1:21" x14ac:dyDescent="0.3">
      <c r="A308" t="s">
        <v>368</v>
      </c>
      <c r="B308" t="s">
        <v>58</v>
      </c>
      <c r="C308" t="s">
        <v>64</v>
      </c>
      <c r="D308">
        <v>4.8</v>
      </c>
      <c r="E308" t="s">
        <v>24</v>
      </c>
      <c r="F308" t="s">
        <v>25</v>
      </c>
      <c r="G308">
        <v>7500</v>
      </c>
      <c r="H308">
        <v>18</v>
      </c>
      <c r="I308">
        <v>36</v>
      </c>
      <c r="J308">
        <v>12</v>
      </c>
      <c r="K308">
        <v>33.299999999999997</v>
      </c>
      <c r="L308" t="s">
        <v>27</v>
      </c>
      <c r="M308" t="s">
        <v>26</v>
      </c>
      <c r="N308" t="s">
        <v>26</v>
      </c>
      <c r="O308" t="s">
        <v>26</v>
      </c>
      <c r="P308" t="s">
        <v>26</v>
      </c>
      <c r="Q308" t="s">
        <v>28</v>
      </c>
      <c r="R308" s="7">
        <v>45702</v>
      </c>
      <c r="S308">
        <v>2.6</v>
      </c>
      <c r="T308">
        <v>17</v>
      </c>
      <c r="U308" t="s">
        <v>29</v>
      </c>
    </row>
    <row r="309" spans="1:21" x14ac:dyDescent="0.3">
      <c r="A309" t="s">
        <v>369</v>
      </c>
      <c r="B309" t="s">
        <v>72</v>
      </c>
      <c r="C309" t="s">
        <v>44</v>
      </c>
      <c r="D309">
        <v>4.5</v>
      </c>
      <c r="E309" t="s">
        <v>48</v>
      </c>
      <c r="F309" t="s">
        <v>49</v>
      </c>
      <c r="G309">
        <v>4300</v>
      </c>
      <c r="H309">
        <v>44</v>
      </c>
      <c r="I309">
        <v>176</v>
      </c>
      <c r="J309">
        <v>116</v>
      </c>
      <c r="K309">
        <v>65.900000000000006</v>
      </c>
      <c r="L309" t="s">
        <v>26</v>
      </c>
      <c r="M309" t="s">
        <v>26</v>
      </c>
      <c r="N309" t="s">
        <v>26</v>
      </c>
      <c r="O309" t="s">
        <v>26</v>
      </c>
      <c r="P309" t="s">
        <v>26</v>
      </c>
      <c r="Q309" t="s">
        <v>35</v>
      </c>
      <c r="R309" s="7">
        <v>46203</v>
      </c>
      <c r="S309">
        <v>4.5</v>
      </c>
      <c r="T309">
        <v>14</v>
      </c>
      <c r="U309" t="s">
        <v>29</v>
      </c>
    </row>
    <row r="310" spans="1:21" x14ac:dyDescent="0.3">
      <c r="A310" t="s">
        <v>370</v>
      </c>
      <c r="B310" t="s">
        <v>51</v>
      </c>
      <c r="C310" t="s">
        <v>32</v>
      </c>
      <c r="D310">
        <v>2.1</v>
      </c>
      <c r="E310" t="s">
        <v>33</v>
      </c>
      <c r="F310" t="s">
        <v>49</v>
      </c>
      <c r="G310">
        <v>2500</v>
      </c>
      <c r="H310">
        <v>8</v>
      </c>
      <c r="I310">
        <v>24</v>
      </c>
      <c r="J310">
        <v>24</v>
      </c>
      <c r="K310">
        <v>100</v>
      </c>
      <c r="L310" t="s">
        <v>26</v>
      </c>
      <c r="M310" t="s">
        <v>27</v>
      </c>
      <c r="N310" t="s">
        <v>26</v>
      </c>
      <c r="O310" t="s">
        <v>26</v>
      </c>
      <c r="P310" t="s">
        <v>26</v>
      </c>
      <c r="Q310" t="s">
        <v>28</v>
      </c>
      <c r="R310" s="7">
        <v>45806</v>
      </c>
      <c r="S310">
        <v>3.7</v>
      </c>
      <c r="T310">
        <v>15</v>
      </c>
      <c r="U310" t="s">
        <v>29</v>
      </c>
    </row>
    <row r="311" spans="1:21" x14ac:dyDescent="0.3">
      <c r="A311" t="s">
        <v>371</v>
      </c>
      <c r="B311" t="s">
        <v>60</v>
      </c>
      <c r="C311" t="s">
        <v>47</v>
      </c>
      <c r="D311">
        <v>6</v>
      </c>
      <c r="E311" t="s">
        <v>33</v>
      </c>
      <c r="F311" t="s">
        <v>49</v>
      </c>
      <c r="G311">
        <v>3250</v>
      </c>
      <c r="H311">
        <v>34</v>
      </c>
      <c r="I311">
        <v>102</v>
      </c>
      <c r="J311">
        <v>90</v>
      </c>
      <c r="K311">
        <v>88.2</v>
      </c>
      <c r="L311" t="s">
        <v>27</v>
      </c>
      <c r="M311" t="s">
        <v>27</v>
      </c>
      <c r="N311" t="s">
        <v>27</v>
      </c>
      <c r="O311" t="s">
        <v>26</v>
      </c>
      <c r="P311" t="s">
        <v>26</v>
      </c>
      <c r="Q311" t="s">
        <v>65</v>
      </c>
      <c r="R311" s="7">
        <v>46071</v>
      </c>
      <c r="S311">
        <v>4.9000000000000004</v>
      </c>
      <c r="T311">
        <v>7</v>
      </c>
      <c r="U311" t="s">
        <v>29</v>
      </c>
    </row>
    <row r="312" spans="1:21" x14ac:dyDescent="0.3">
      <c r="A312" t="s">
        <v>372</v>
      </c>
      <c r="B312" t="s">
        <v>43</v>
      </c>
      <c r="C312" t="s">
        <v>32</v>
      </c>
      <c r="D312">
        <v>4.8</v>
      </c>
      <c r="E312" t="s">
        <v>33</v>
      </c>
      <c r="F312" t="s">
        <v>49</v>
      </c>
      <c r="G312">
        <v>3500</v>
      </c>
      <c r="H312">
        <v>42</v>
      </c>
      <c r="I312">
        <v>126</v>
      </c>
      <c r="J312">
        <v>78</v>
      </c>
      <c r="K312">
        <v>61.9</v>
      </c>
      <c r="L312" t="s">
        <v>26</v>
      </c>
      <c r="M312" t="s">
        <v>26</v>
      </c>
      <c r="N312" t="s">
        <v>26</v>
      </c>
      <c r="O312" t="s">
        <v>26</v>
      </c>
      <c r="P312" t="s">
        <v>26</v>
      </c>
      <c r="Q312" t="s">
        <v>35</v>
      </c>
      <c r="R312" s="7">
        <v>46089</v>
      </c>
      <c r="S312">
        <v>3.5</v>
      </c>
      <c r="T312">
        <v>3</v>
      </c>
      <c r="U312" t="s">
        <v>29</v>
      </c>
    </row>
    <row r="313" spans="1:21" x14ac:dyDescent="0.3">
      <c r="A313" t="s">
        <v>373</v>
      </c>
      <c r="B313" t="s">
        <v>60</v>
      </c>
      <c r="C313" t="s">
        <v>64</v>
      </c>
      <c r="D313">
        <v>1.6</v>
      </c>
      <c r="E313" t="s">
        <v>54</v>
      </c>
      <c r="F313" t="s">
        <v>25</v>
      </c>
      <c r="G313">
        <v>6500</v>
      </c>
      <c r="H313">
        <v>11</v>
      </c>
      <c r="I313">
        <v>11</v>
      </c>
      <c r="J313">
        <v>11</v>
      </c>
      <c r="K313">
        <v>100</v>
      </c>
      <c r="L313" t="s">
        <v>26</v>
      </c>
      <c r="M313" t="s">
        <v>26</v>
      </c>
      <c r="N313" t="s">
        <v>26</v>
      </c>
      <c r="O313" t="s">
        <v>26</v>
      </c>
      <c r="P313" t="s">
        <v>26</v>
      </c>
      <c r="Q313" t="s">
        <v>35</v>
      </c>
      <c r="R313" s="7">
        <v>45689</v>
      </c>
      <c r="S313">
        <v>3.4</v>
      </c>
      <c r="T313">
        <v>14</v>
      </c>
      <c r="U313" t="s">
        <v>29</v>
      </c>
    </row>
    <row r="314" spans="1:21" x14ac:dyDescent="0.3">
      <c r="A314" t="s">
        <v>374</v>
      </c>
      <c r="B314" t="s">
        <v>56</v>
      </c>
      <c r="C314" t="s">
        <v>47</v>
      </c>
      <c r="D314">
        <v>0.9</v>
      </c>
      <c r="E314" t="s">
        <v>54</v>
      </c>
      <c r="F314" t="s">
        <v>34</v>
      </c>
      <c r="G314">
        <v>9250</v>
      </c>
      <c r="H314">
        <v>21</v>
      </c>
      <c r="I314">
        <v>21</v>
      </c>
      <c r="J314">
        <v>12</v>
      </c>
      <c r="K314">
        <v>57.1</v>
      </c>
      <c r="L314" t="s">
        <v>27</v>
      </c>
      <c r="M314" t="s">
        <v>26</v>
      </c>
      <c r="N314" t="s">
        <v>26</v>
      </c>
      <c r="O314" t="s">
        <v>26</v>
      </c>
      <c r="P314" t="s">
        <v>27</v>
      </c>
      <c r="Q314" t="s">
        <v>28</v>
      </c>
      <c r="R314" s="7">
        <v>46097</v>
      </c>
      <c r="S314">
        <v>4.8</v>
      </c>
      <c r="T314">
        <v>10</v>
      </c>
      <c r="U314" t="s">
        <v>29</v>
      </c>
    </row>
    <row r="315" spans="1:21" x14ac:dyDescent="0.3">
      <c r="A315" t="s">
        <v>375</v>
      </c>
      <c r="B315" t="s">
        <v>67</v>
      </c>
      <c r="C315" t="s">
        <v>41</v>
      </c>
      <c r="D315">
        <v>5.9</v>
      </c>
      <c r="E315" t="s">
        <v>54</v>
      </c>
      <c r="F315" t="s">
        <v>49</v>
      </c>
      <c r="G315">
        <v>9750</v>
      </c>
      <c r="H315">
        <v>38</v>
      </c>
      <c r="I315">
        <v>38</v>
      </c>
      <c r="J315">
        <v>18</v>
      </c>
      <c r="K315">
        <v>47.4</v>
      </c>
      <c r="L315" t="s">
        <v>26</v>
      </c>
      <c r="M315" t="s">
        <v>26</v>
      </c>
      <c r="N315" t="s">
        <v>26</v>
      </c>
      <c r="O315" t="s">
        <v>26</v>
      </c>
      <c r="P315" t="s">
        <v>27</v>
      </c>
      <c r="Q315" t="s">
        <v>28</v>
      </c>
      <c r="R315" s="7">
        <v>45863</v>
      </c>
      <c r="S315">
        <v>4.4000000000000004</v>
      </c>
      <c r="T315">
        <v>12</v>
      </c>
      <c r="U315" t="s">
        <v>29</v>
      </c>
    </row>
    <row r="316" spans="1:21" x14ac:dyDescent="0.3">
      <c r="A316" t="s">
        <v>376</v>
      </c>
      <c r="B316" t="s">
        <v>40</v>
      </c>
      <c r="C316" t="s">
        <v>23</v>
      </c>
      <c r="D316">
        <v>1.7</v>
      </c>
      <c r="E316" t="s">
        <v>54</v>
      </c>
      <c r="F316" t="s">
        <v>49</v>
      </c>
      <c r="G316">
        <v>9500</v>
      </c>
      <c r="H316">
        <v>21</v>
      </c>
      <c r="I316">
        <v>21</v>
      </c>
      <c r="J316">
        <v>14</v>
      </c>
      <c r="K316">
        <v>66.7</v>
      </c>
      <c r="L316" t="s">
        <v>26</v>
      </c>
      <c r="M316" t="s">
        <v>26</v>
      </c>
      <c r="N316" t="s">
        <v>26</v>
      </c>
      <c r="O316" t="s">
        <v>26</v>
      </c>
      <c r="P316" t="s">
        <v>26</v>
      </c>
      <c r="Q316" t="s">
        <v>35</v>
      </c>
      <c r="R316" s="7">
        <v>46065</v>
      </c>
      <c r="S316">
        <v>3.5</v>
      </c>
      <c r="T316">
        <v>8</v>
      </c>
      <c r="U316" t="s">
        <v>29</v>
      </c>
    </row>
    <row r="317" spans="1:21" x14ac:dyDescent="0.3">
      <c r="A317" t="s">
        <v>377</v>
      </c>
      <c r="B317" t="s">
        <v>67</v>
      </c>
      <c r="C317" t="s">
        <v>47</v>
      </c>
      <c r="D317">
        <v>7.3</v>
      </c>
      <c r="E317" t="s">
        <v>24</v>
      </c>
      <c r="F317" t="s">
        <v>25</v>
      </c>
      <c r="G317">
        <v>6750</v>
      </c>
      <c r="H317">
        <v>28</v>
      </c>
      <c r="I317">
        <v>56</v>
      </c>
      <c r="J317">
        <v>19</v>
      </c>
      <c r="K317">
        <v>33.9</v>
      </c>
      <c r="L317" t="s">
        <v>26</v>
      </c>
      <c r="M317" t="s">
        <v>26</v>
      </c>
      <c r="N317" t="s">
        <v>26</v>
      </c>
      <c r="O317" t="s">
        <v>26</v>
      </c>
      <c r="P317" t="s">
        <v>26</v>
      </c>
      <c r="Q317" t="s">
        <v>35</v>
      </c>
      <c r="R317" s="7">
        <v>45838</v>
      </c>
      <c r="S317">
        <v>4.0999999999999996</v>
      </c>
      <c r="T317">
        <v>1</v>
      </c>
      <c r="U317" t="s">
        <v>29</v>
      </c>
    </row>
    <row r="318" spans="1:21" x14ac:dyDescent="0.3">
      <c r="A318" t="s">
        <v>378</v>
      </c>
      <c r="B318" t="s">
        <v>150</v>
      </c>
      <c r="C318" t="s">
        <v>44</v>
      </c>
      <c r="D318">
        <v>2.9</v>
      </c>
      <c r="E318" t="s">
        <v>54</v>
      </c>
      <c r="F318" t="s">
        <v>34</v>
      </c>
      <c r="G318">
        <v>7250</v>
      </c>
      <c r="H318">
        <v>18</v>
      </c>
      <c r="I318">
        <v>18</v>
      </c>
      <c r="J318">
        <v>13</v>
      </c>
      <c r="K318">
        <v>72.2</v>
      </c>
      <c r="L318" t="s">
        <v>26</v>
      </c>
      <c r="M318" t="s">
        <v>26</v>
      </c>
      <c r="N318" t="s">
        <v>26</v>
      </c>
      <c r="O318" t="s">
        <v>26</v>
      </c>
      <c r="P318" t="s">
        <v>26</v>
      </c>
      <c r="Q318" t="s">
        <v>35</v>
      </c>
      <c r="R318" s="7">
        <v>45760</v>
      </c>
      <c r="S318">
        <v>4.0999999999999996</v>
      </c>
      <c r="T318">
        <v>17</v>
      </c>
      <c r="U318" t="s">
        <v>29</v>
      </c>
    </row>
    <row r="319" spans="1:21" x14ac:dyDescent="0.3">
      <c r="A319" t="s">
        <v>379</v>
      </c>
      <c r="B319" t="s">
        <v>46</v>
      </c>
      <c r="C319" t="s">
        <v>81</v>
      </c>
      <c r="D319">
        <v>6.1</v>
      </c>
      <c r="E319" t="s">
        <v>48</v>
      </c>
      <c r="F319" t="s">
        <v>25</v>
      </c>
      <c r="G319">
        <v>4550</v>
      </c>
      <c r="H319">
        <v>20</v>
      </c>
      <c r="I319">
        <v>80</v>
      </c>
      <c r="J319">
        <v>29</v>
      </c>
      <c r="K319">
        <v>36.200000000000003</v>
      </c>
      <c r="L319" t="s">
        <v>26</v>
      </c>
      <c r="M319" t="s">
        <v>27</v>
      </c>
      <c r="N319" t="s">
        <v>26</v>
      </c>
      <c r="O319" t="s">
        <v>26</v>
      </c>
      <c r="P319" t="s">
        <v>26</v>
      </c>
      <c r="Q319" t="s">
        <v>28</v>
      </c>
      <c r="R319" s="7">
        <v>46053</v>
      </c>
      <c r="S319">
        <v>3.7</v>
      </c>
      <c r="T319">
        <v>14</v>
      </c>
      <c r="U319" t="s">
        <v>29</v>
      </c>
    </row>
    <row r="320" spans="1:21" x14ac:dyDescent="0.3">
      <c r="A320" t="s">
        <v>380</v>
      </c>
      <c r="B320" t="s">
        <v>58</v>
      </c>
      <c r="C320" t="s">
        <v>64</v>
      </c>
      <c r="D320">
        <v>1.6</v>
      </c>
      <c r="E320" t="s">
        <v>24</v>
      </c>
      <c r="F320" t="s">
        <v>49</v>
      </c>
      <c r="G320">
        <v>6250</v>
      </c>
      <c r="H320">
        <v>28</v>
      </c>
      <c r="I320">
        <v>56</v>
      </c>
      <c r="J320">
        <v>48</v>
      </c>
      <c r="K320">
        <v>85.7</v>
      </c>
      <c r="L320" t="s">
        <v>26</v>
      </c>
      <c r="M320" t="s">
        <v>27</v>
      </c>
      <c r="N320" t="s">
        <v>27</v>
      </c>
      <c r="O320" t="s">
        <v>26</v>
      </c>
      <c r="P320" t="s">
        <v>26</v>
      </c>
      <c r="Q320" t="s">
        <v>28</v>
      </c>
      <c r="R320" s="7">
        <v>45948</v>
      </c>
      <c r="S320">
        <v>4.3</v>
      </c>
      <c r="T320">
        <v>9</v>
      </c>
      <c r="U320" t="s">
        <v>29</v>
      </c>
    </row>
    <row r="321" spans="1:21" x14ac:dyDescent="0.3">
      <c r="A321" t="s">
        <v>381</v>
      </c>
      <c r="B321" t="s">
        <v>56</v>
      </c>
      <c r="C321" t="s">
        <v>32</v>
      </c>
      <c r="D321">
        <v>5.6</v>
      </c>
      <c r="E321" t="s">
        <v>54</v>
      </c>
      <c r="F321" t="s">
        <v>25</v>
      </c>
      <c r="G321">
        <v>10250</v>
      </c>
      <c r="H321">
        <v>31</v>
      </c>
      <c r="I321">
        <v>31</v>
      </c>
      <c r="J321">
        <v>29</v>
      </c>
      <c r="K321">
        <v>93.5</v>
      </c>
      <c r="L321" t="s">
        <v>27</v>
      </c>
      <c r="M321" t="s">
        <v>26</v>
      </c>
      <c r="N321" t="s">
        <v>27</v>
      </c>
      <c r="O321" t="s">
        <v>26</v>
      </c>
      <c r="P321" t="s">
        <v>26</v>
      </c>
      <c r="Q321" t="s">
        <v>28</v>
      </c>
      <c r="R321" s="7">
        <v>45911</v>
      </c>
      <c r="S321">
        <v>3.4</v>
      </c>
      <c r="T321">
        <v>16</v>
      </c>
      <c r="U321" t="s">
        <v>29</v>
      </c>
    </row>
    <row r="322" spans="1:21" x14ac:dyDescent="0.3">
      <c r="A322" t="s">
        <v>382</v>
      </c>
      <c r="B322" t="s">
        <v>150</v>
      </c>
      <c r="C322" t="s">
        <v>44</v>
      </c>
      <c r="D322">
        <v>4.7</v>
      </c>
      <c r="E322" t="s">
        <v>33</v>
      </c>
      <c r="F322" t="s">
        <v>34</v>
      </c>
      <c r="G322">
        <v>4000</v>
      </c>
      <c r="H322">
        <v>28</v>
      </c>
      <c r="I322">
        <v>84</v>
      </c>
      <c r="J322">
        <v>36</v>
      </c>
      <c r="K322">
        <v>42.9</v>
      </c>
      <c r="L322" t="s">
        <v>26</v>
      </c>
      <c r="M322" t="s">
        <v>26</v>
      </c>
      <c r="N322" t="s">
        <v>26</v>
      </c>
      <c r="O322" t="s">
        <v>26</v>
      </c>
      <c r="P322" t="s">
        <v>26</v>
      </c>
      <c r="Q322" t="s">
        <v>35</v>
      </c>
      <c r="R322" s="7">
        <v>45765</v>
      </c>
      <c r="S322">
        <v>4.3</v>
      </c>
      <c r="T322">
        <v>6</v>
      </c>
      <c r="U322" t="s">
        <v>29</v>
      </c>
    </row>
    <row r="323" spans="1:21" x14ac:dyDescent="0.3">
      <c r="A323" t="s">
        <v>383</v>
      </c>
      <c r="B323" t="s">
        <v>62</v>
      </c>
      <c r="C323" t="s">
        <v>32</v>
      </c>
      <c r="D323">
        <v>5</v>
      </c>
      <c r="E323" t="s">
        <v>33</v>
      </c>
      <c r="F323" t="s">
        <v>25</v>
      </c>
      <c r="G323">
        <v>2500</v>
      </c>
      <c r="H323">
        <v>31</v>
      </c>
      <c r="I323">
        <v>93</v>
      </c>
      <c r="J323">
        <v>46</v>
      </c>
      <c r="K323">
        <v>49.5</v>
      </c>
      <c r="L323" t="s">
        <v>27</v>
      </c>
      <c r="M323" t="s">
        <v>26</v>
      </c>
      <c r="N323" t="s">
        <v>27</v>
      </c>
      <c r="O323" t="s">
        <v>26</v>
      </c>
      <c r="P323" t="s">
        <v>26</v>
      </c>
      <c r="Q323" t="s">
        <v>28</v>
      </c>
      <c r="R323" s="7">
        <v>45739</v>
      </c>
      <c r="S323">
        <v>4.2</v>
      </c>
      <c r="T323">
        <v>14</v>
      </c>
      <c r="U323" t="s">
        <v>29</v>
      </c>
    </row>
    <row r="324" spans="1:21" x14ac:dyDescent="0.3">
      <c r="A324" t="s">
        <v>384</v>
      </c>
      <c r="B324" t="s">
        <v>67</v>
      </c>
      <c r="C324" t="s">
        <v>81</v>
      </c>
      <c r="D324">
        <v>4.3</v>
      </c>
      <c r="E324" t="s">
        <v>48</v>
      </c>
      <c r="F324" t="s">
        <v>25</v>
      </c>
      <c r="G324">
        <v>3050</v>
      </c>
      <c r="H324">
        <v>11</v>
      </c>
      <c r="I324">
        <v>44</v>
      </c>
      <c r="J324">
        <v>41</v>
      </c>
      <c r="K324">
        <v>93.2</v>
      </c>
      <c r="L324" t="s">
        <v>26</v>
      </c>
      <c r="M324" t="s">
        <v>26</v>
      </c>
      <c r="N324" t="s">
        <v>26</v>
      </c>
      <c r="O324" t="s">
        <v>26</v>
      </c>
      <c r="P324" t="s">
        <v>26</v>
      </c>
      <c r="Q324" t="s">
        <v>35</v>
      </c>
      <c r="R324" s="7">
        <v>45939</v>
      </c>
      <c r="S324">
        <v>4.7</v>
      </c>
      <c r="T324">
        <v>16</v>
      </c>
      <c r="U324" t="s">
        <v>29</v>
      </c>
    </row>
    <row r="325" spans="1:21" x14ac:dyDescent="0.3">
      <c r="A325" t="s">
        <v>385</v>
      </c>
      <c r="B325" t="s">
        <v>37</v>
      </c>
      <c r="C325" t="s">
        <v>47</v>
      </c>
      <c r="D325">
        <v>1.6</v>
      </c>
      <c r="E325" t="s">
        <v>24</v>
      </c>
      <c r="F325" t="s">
        <v>34</v>
      </c>
      <c r="G325">
        <v>4750</v>
      </c>
      <c r="H325">
        <v>43</v>
      </c>
      <c r="I325">
        <v>86</v>
      </c>
      <c r="J325">
        <v>77</v>
      </c>
      <c r="K325">
        <v>89.5</v>
      </c>
      <c r="L325" t="s">
        <v>27</v>
      </c>
      <c r="M325" t="s">
        <v>27</v>
      </c>
      <c r="N325" t="s">
        <v>27</v>
      </c>
      <c r="O325" t="s">
        <v>26</v>
      </c>
      <c r="P325" t="s">
        <v>26</v>
      </c>
      <c r="Q325" t="s">
        <v>65</v>
      </c>
      <c r="R325" s="7">
        <v>46092</v>
      </c>
      <c r="S325">
        <v>4.5</v>
      </c>
      <c r="T325">
        <v>3</v>
      </c>
      <c r="U325" t="s">
        <v>29</v>
      </c>
    </row>
    <row r="326" spans="1:21" x14ac:dyDescent="0.3">
      <c r="A326" t="s">
        <v>386</v>
      </c>
      <c r="B326" t="s">
        <v>70</v>
      </c>
      <c r="C326" t="s">
        <v>32</v>
      </c>
      <c r="D326">
        <v>3.9</v>
      </c>
      <c r="E326" t="s">
        <v>24</v>
      </c>
      <c r="F326" t="s">
        <v>25</v>
      </c>
      <c r="G326">
        <v>7000</v>
      </c>
      <c r="H326">
        <v>30</v>
      </c>
      <c r="I326">
        <v>60</v>
      </c>
      <c r="J326">
        <v>41</v>
      </c>
      <c r="K326">
        <v>68.3</v>
      </c>
      <c r="L326" t="s">
        <v>27</v>
      </c>
      <c r="M326" t="s">
        <v>26</v>
      </c>
      <c r="N326" t="s">
        <v>27</v>
      </c>
      <c r="O326" t="s">
        <v>26</v>
      </c>
      <c r="P326" t="s">
        <v>27</v>
      </c>
      <c r="Q326" t="s">
        <v>65</v>
      </c>
      <c r="R326" s="7">
        <v>45999</v>
      </c>
      <c r="S326">
        <v>3.6</v>
      </c>
      <c r="T326">
        <v>7</v>
      </c>
      <c r="U326" t="s">
        <v>29</v>
      </c>
    </row>
    <row r="327" spans="1:21" x14ac:dyDescent="0.3">
      <c r="A327" t="s">
        <v>387</v>
      </c>
      <c r="B327" t="s">
        <v>78</v>
      </c>
      <c r="C327" t="s">
        <v>81</v>
      </c>
      <c r="D327">
        <v>7.2</v>
      </c>
      <c r="E327" t="s">
        <v>48</v>
      </c>
      <c r="F327" t="s">
        <v>34</v>
      </c>
      <c r="G327">
        <v>3300</v>
      </c>
      <c r="H327">
        <v>8</v>
      </c>
      <c r="I327">
        <v>32</v>
      </c>
      <c r="J327">
        <v>12</v>
      </c>
      <c r="K327">
        <v>37.5</v>
      </c>
      <c r="L327" t="s">
        <v>26</v>
      </c>
      <c r="M327" t="s">
        <v>26</v>
      </c>
      <c r="N327" t="s">
        <v>26</v>
      </c>
      <c r="O327" t="s">
        <v>26</v>
      </c>
      <c r="P327" t="s">
        <v>26</v>
      </c>
      <c r="Q327" t="s">
        <v>35</v>
      </c>
      <c r="R327" s="7">
        <v>45958</v>
      </c>
      <c r="S327">
        <v>3.9</v>
      </c>
      <c r="T327">
        <v>7</v>
      </c>
      <c r="U327" t="s">
        <v>29</v>
      </c>
    </row>
    <row r="328" spans="1:21" x14ac:dyDescent="0.3">
      <c r="A328" t="s">
        <v>388</v>
      </c>
      <c r="B328" t="s">
        <v>46</v>
      </c>
      <c r="C328" t="s">
        <v>23</v>
      </c>
      <c r="D328">
        <v>5.8</v>
      </c>
      <c r="E328" t="s">
        <v>33</v>
      </c>
      <c r="F328" t="s">
        <v>34</v>
      </c>
      <c r="G328">
        <v>4500</v>
      </c>
      <c r="H328">
        <v>40</v>
      </c>
      <c r="I328">
        <v>120</v>
      </c>
      <c r="J328">
        <v>113</v>
      </c>
      <c r="K328">
        <v>94.2</v>
      </c>
      <c r="L328" t="s">
        <v>26</v>
      </c>
      <c r="M328" t="s">
        <v>26</v>
      </c>
      <c r="N328" t="s">
        <v>26</v>
      </c>
      <c r="O328" t="s">
        <v>26</v>
      </c>
      <c r="P328" t="s">
        <v>26</v>
      </c>
      <c r="Q328" t="s">
        <v>35</v>
      </c>
      <c r="R328" s="7">
        <v>45825</v>
      </c>
      <c r="S328">
        <v>3.9</v>
      </c>
      <c r="T328">
        <v>4</v>
      </c>
      <c r="U328" t="s">
        <v>29</v>
      </c>
    </row>
    <row r="329" spans="1:21" x14ac:dyDescent="0.3">
      <c r="A329" t="s">
        <v>389</v>
      </c>
      <c r="B329" t="s">
        <v>40</v>
      </c>
      <c r="C329" t="s">
        <v>41</v>
      </c>
      <c r="D329">
        <v>6.1</v>
      </c>
      <c r="E329" t="s">
        <v>54</v>
      </c>
      <c r="F329" t="s">
        <v>34</v>
      </c>
      <c r="G329">
        <v>10000</v>
      </c>
      <c r="H329">
        <v>33</v>
      </c>
      <c r="I329">
        <v>33</v>
      </c>
      <c r="J329">
        <v>29</v>
      </c>
      <c r="K329">
        <v>87.9</v>
      </c>
      <c r="L329" t="s">
        <v>26</v>
      </c>
      <c r="M329" t="s">
        <v>27</v>
      </c>
      <c r="N329" t="s">
        <v>26</v>
      </c>
      <c r="O329" t="s">
        <v>26</v>
      </c>
      <c r="P329" t="s">
        <v>26</v>
      </c>
      <c r="Q329" t="s">
        <v>28</v>
      </c>
      <c r="R329" s="7">
        <v>45889</v>
      </c>
      <c r="S329">
        <v>5</v>
      </c>
      <c r="T329">
        <v>18</v>
      </c>
      <c r="U329" t="s">
        <v>29</v>
      </c>
    </row>
    <row r="330" spans="1:21" x14ac:dyDescent="0.3">
      <c r="A330" t="s">
        <v>390</v>
      </c>
      <c r="B330" t="s">
        <v>60</v>
      </c>
      <c r="C330" t="s">
        <v>41</v>
      </c>
      <c r="D330">
        <v>0.5</v>
      </c>
      <c r="E330" t="s">
        <v>48</v>
      </c>
      <c r="F330" t="s">
        <v>34</v>
      </c>
      <c r="G330">
        <v>2050</v>
      </c>
      <c r="H330">
        <v>11</v>
      </c>
      <c r="I330">
        <v>44</v>
      </c>
      <c r="J330">
        <v>44</v>
      </c>
      <c r="K330">
        <v>100</v>
      </c>
      <c r="L330" t="s">
        <v>26</v>
      </c>
      <c r="M330" t="s">
        <v>26</v>
      </c>
      <c r="N330" t="s">
        <v>26</v>
      </c>
      <c r="O330" t="s">
        <v>26</v>
      </c>
      <c r="P330" t="s">
        <v>27</v>
      </c>
      <c r="Q330" t="s">
        <v>28</v>
      </c>
      <c r="R330" s="7">
        <v>46009</v>
      </c>
      <c r="S330">
        <v>3.5</v>
      </c>
      <c r="T330">
        <v>0</v>
      </c>
      <c r="U330" t="s">
        <v>29</v>
      </c>
    </row>
    <row r="331" spans="1:21" x14ac:dyDescent="0.3">
      <c r="A331" t="s">
        <v>391</v>
      </c>
      <c r="B331" t="s">
        <v>58</v>
      </c>
      <c r="C331" t="s">
        <v>23</v>
      </c>
      <c r="D331">
        <v>2.5</v>
      </c>
      <c r="E331" t="s">
        <v>24</v>
      </c>
      <c r="F331" t="s">
        <v>25</v>
      </c>
      <c r="G331">
        <v>6000</v>
      </c>
      <c r="H331">
        <v>40</v>
      </c>
      <c r="I331">
        <v>80</v>
      </c>
      <c r="J331">
        <v>72</v>
      </c>
      <c r="K331">
        <v>90</v>
      </c>
      <c r="L331" t="s">
        <v>27</v>
      </c>
      <c r="M331" t="s">
        <v>27</v>
      </c>
      <c r="N331" t="s">
        <v>27</v>
      </c>
      <c r="O331" t="s">
        <v>26</v>
      </c>
      <c r="P331" t="s">
        <v>26</v>
      </c>
      <c r="Q331" t="s">
        <v>65</v>
      </c>
      <c r="R331" s="7">
        <v>45893</v>
      </c>
      <c r="S331">
        <v>3.4</v>
      </c>
      <c r="T331">
        <v>18</v>
      </c>
      <c r="U331" t="s">
        <v>29</v>
      </c>
    </row>
    <row r="332" spans="1:21" x14ac:dyDescent="0.3">
      <c r="A332" t="s">
        <v>392</v>
      </c>
      <c r="B332" t="s">
        <v>43</v>
      </c>
      <c r="C332" t="s">
        <v>47</v>
      </c>
      <c r="D332">
        <v>3.4</v>
      </c>
      <c r="E332" t="s">
        <v>48</v>
      </c>
      <c r="F332" t="s">
        <v>25</v>
      </c>
      <c r="G332">
        <v>2300</v>
      </c>
      <c r="H332">
        <v>16</v>
      </c>
      <c r="I332">
        <v>64</v>
      </c>
      <c r="J332">
        <v>43</v>
      </c>
      <c r="K332">
        <v>67.2</v>
      </c>
      <c r="L332" t="s">
        <v>27</v>
      </c>
      <c r="M332" t="s">
        <v>26</v>
      </c>
      <c r="N332" t="s">
        <v>27</v>
      </c>
      <c r="O332" t="s">
        <v>27</v>
      </c>
      <c r="P332" t="s">
        <v>26</v>
      </c>
      <c r="Q332" t="s">
        <v>65</v>
      </c>
      <c r="R332" s="7">
        <v>45751</v>
      </c>
      <c r="S332">
        <v>3.5</v>
      </c>
      <c r="T332">
        <v>2</v>
      </c>
      <c r="U332" t="s">
        <v>29</v>
      </c>
    </row>
    <row r="333" spans="1:21" x14ac:dyDescent="0.3">
      <c r="A333" t="s">
        <v>393</v>
      </c>
      <c r="B333" t="s">
        <v>75</v>
      </c>
      <c r="C333" t="s">
        <v>44</v>
      </c>
      <c r="D333">
        <v>3.7</v>
      </c>
      <c r="E333" t="s">
        <v>24</v>
      </c>
      <c r="F333" t="s">
        <v>25</v>
      </c>
      <c r="G333">
        <v>7250</v>
      </c>
      <c r="H333">
        <v>33</v>
      </c>
      <c r="I333">
        <v>66</v>
      </c>
      <c r="J333">
        <v>64</v>
      </c>
      <c r="K333">
        <v>97</v>
      </c>
      <c r="L333" t="s">
        <v>26</v>
      </c>
      <c r="M333" t="s">
        <v>27</v>
      </c>
      <c r="N333" t="s">
        <v>26</v>
      </c>
      <c r="O333" t="s">
        <v>26</v>
      </c>
      <c r="P333" t="s">
        <v>26</v>
      </c>
      <c r="Q333" t="s">
        <v>28</v>
      </c>
      <c r="R333" s="7">
        <v>45867</v>
      </c>
      <c r="S333">
        <v>4.3</v>
      </c>
      <c r="T333">
        <v>10</v>
      </c>
      <c r="U333" t="s">
        <v>29</v>
      </c>
    </row>
    <row r="334" spans="1:21" x14ac:dyDescent="0.3">
      <c r="A334" t="s">
        <v>394</v>
      </c>
      <c r="B334" t="s">
        <v>62</v>
      </c>
      <c r="C334" t="s">
        <v>38</v>
      </c>
      <c r="D334">
        <v>1</v>
      </c>
      <c r="E334" t="s">
        <v>48</v>
      </c>
      <c r="F334" t="s">
        <v>49</v>
      </c>
      <c r="G334">
        <v>3300</v>
      </c>
      <c r="H334">
        <v>31</v>
      </c>
      <c r="I334">
        <v>124</v>
      </c>
      <c r="J334">
        <v>87</v>
      </c>
      <c r="K334">
        <v>70.2</v>
      </c>
      <c r="L334" t="s">
        <v>26</v>
      </c>
      <c r="M334" t="s">
        <v>26</v>
      </c>
      <c r="N334" t="s">
        <v>27</v>
      </c>
      <c r="O334" t="s">
        <v>26</v>
      </c>
      <c r="P334" t="s">
        <v>26</v>
      </c>
      <c r="Q334" t="s">
        <v>28</v>
      </c>
      <c r="R334" s="7">
        <v>45862</v>
      </c>
      <c r="S334">
        <v>4.8</v>
      </c>
      <c r="T334">
        <v>5</v>
      </c>
      <c r="U334" t="s">
        <v>29</v>
      </c>
    </row>
    <row r="335" spans="1:21" x14ac:dyDescent="0.3">
      <c r="A335" t="s">
        <v>395</v>
      </c>
      <c r="B335" t="s">
        <v>60</v>
      </c>
      <c r="C335" t="s">
        <v>44</v>
      </c>
      <c r="D335">
        <v>3.4</v>
      </c>
      <c r="E335" t="s">
        <v>24</v>
      </c>
      <c r="F335" t="s">
        <v>49</v>
      </c>
      <c r="G335">
        <v>5000</v>
      </c>
      <c r="H335">
        <v>31</v>
      </c>
      <c r="I335">
        <v>62</v>
      </c>
      <c r="J335">
        <v>30</v>
      </c>
      <c r="K335">
        <v>48.4</v>
      </c>
      <c r="L335" t="s">
        <v>26</v>
      </c>
      <c r="M335" t="s">
        <v>26</v>
      </c>
      <c r="N335" t="s">
        <v>26</v>
      </c>
      <c r="O335" t="s">
        <v>26</v>
      </c>
      <c r="P335" t="s">
        <v>26</v>
      </c>
      <c r="Q335" t="s">
        <v>35</v>
      </c>
      <c r="R335" s="7">
        <v>45754</v>
      </c>
      <c r="S335">
        <v>3.9</v>
      </c>
      <c r="T335">
        <v>0</v>
      </c>
      <c r="U335" t="s">
        <v>29</v>
      </c>
    </row>
    <row r="336" spans="1:21" x14ac:dyDescent="0.3">
      <c r="A336" t="s">
        <v>396</v>
      </c>
      <c r="B336" t="s">
        <v>22</v>
      </c>
      <c r="C336" t="s">
        <v>41</v>
      </c>
      <c r="D336">
        <v>3.5</v>
      </c>
      <c r="E336" t="s">
        <v>54</v>
      </c>
      <c r="F336" t="s">
        <v>49</v>
      </c>
      <c r="G336">
        <v>8000</v>
      </c>
      <c r="H336">
        <v>21</v>
      </c>
      <c r="I336">
        <v>21</v>
      </c>
      <c r="J336">
        <v>18</v>
      </c>
      <c r="K336">
        <v>85.7</v>
      </c>
      <c r="L336" t="s">
        <v>26</v>
      </c>
      <c r="M336" t="s">
        <v>27</v>
      </c>
      <c r="N336" t="s">
        <v>27</v>
      </c>
      <c r="O336" t="s">
        <v>26</v>
      </c>
      <c r="P336" t="s">
        <v>26</v>
      </c>
      <c r="Q336" t="s">
        <v>28</v>
      </c>
      <c r="R336" s="7">
        <v>46217</v>
      </c>
      <c r="S336">
        <v>3.7</v>
      </c>
      <c r="T336">
        <v>4</v>
      </c>
      <c r="U336" t="s">
        <v>29</v>
      </c>
    </row>
    <row r="337" spans="1:21" x14ac:dyDescent="0.3">
      <c r="A337" t="s">
        <v>397</v>
      </c>
      <c r="B337" t="s">
        <v>62</v>
      </c>
      <c r="C337" t="s">
        <v>23</v>
      </c>
      <c r="D337">
        <v>2.1</v>
      </c>
      <c r="E337" t="s">
        <v>54</v>
      </c>
      <c r="F337" t="s">
        <v>25</v>
      </c>
      <c r="G337">
        <v>7750</v>
      </c>
      <c r="H337">
        <v>20</v>
      </c>
      <c r="I337">
        <v>20</v>
      </c>
      <c r="J337">
        <v>19</v>
      </c>
      <c r="K337">
        <v>95</v>
      </c>
      <c r="L337" t="s">
        <v>26</v>
      </c>
      <c r="M337" t="s">
        <v>26</v>
      </c>
      <c r="N337" t="s">
        <v>27</v>
      </c>
      <c r="O337" t="s">
        <v>26</v>
      </c>
      <c r="P337" t="s">
        <v>27</v>
      </c>
      <c r="Q337" t="s">
        <v>28</v>
      </c>
      <c r="R337" s="7">
        <v>45944</v>
      </c>
      <c r="S337">
        <v>3.2</v>
      </c>
      <c r="T337">
        <v>12</v>
      </c>
      <c r="U337" t="s">
        <v>29</v>
      </c>
    </row>
    <row r="338" spans="1:21" x14ac:dyDescent="0.3">
      <c r="A338" t="s">
        <v>398</v>
      </c>
      <c r="B338" t="s">
        <v>78</v>
      </c>
      <c r="C338" t="s">
        <v>81</v>
      </c>
      <c r="D338">
        <v>6.5</v>
      </c>
      <c r="E338" t="s">
        <v>54</v>
      </c>
      <c r="F338" t="s">
        <v>25</v>
      </c>
      <c r="G338">
        <v>7750</v>
      </c>
      <c r="H338">
        <v>32</v>
      </c>
      <c r="I338">
        <v>32</v>
      </c>
      <c r="J338">
        <v>18</v>
      </c>
      <c r="K338">
        <v>56.2</v>
      </c>
      <c r="L338" t="s">
        <v>26</v>
      </c>
      <c r="M338" t="s">
        <v>26</v>
      </c>
      <c r="N338" t="s">
        <v>26</v>
      </c>
      <c r="O338" t="s">
        <v>26</v>
      </c>
      <c r="P338" t="s">
        <v>26</v>
      </c>
      <c r="Q338" t="s">
        <v>35</v>
      </c>
      <c r="R338" s="7">
        <v>46056</v>
      </c>
      <c r="S338">
        <v>3.4</v>
      </c>
      <c r="T338">
        <v>6</v>
      </c>
      <c r="U338" t="s">
        <v>29</v>
      </c>
    </row>
    <row r="339" spans="1:21" x14ac:dyDescent="0.3">
      <c r="A339" t="s">
        <v>399</v>
      </c>
      <c r="B339" t="s">
        <v>56</v>
      </c>
      <c r="C339" t="s">
        <v>23</v>
      </c>
      <c r="D339">
        <v>2</v>
      </c>
      <c r="E339" t="s">
        <v>33</v>
      </c>
      <c r="F339" t="s">
        <v>34</v>
      </c>
      <c r="G339">
        <v>3750</v>
      </c>
      <c r="H339">
        <v>39</v>
      </c>
      <c r="I339">
        <v>117</v>
      </c>
      <c r="J339">
        <v>90</v>
      </c>
      <c r="K339">
        <v>76.900000000000006</v>
      </c>
      <c r="L339" t="s">
        <v>26</v>
      </c>
      <c r="M339" t="s">
        <v>26</v>
      </c>
      <c r="N339" t="s">
        <v>27</v>
      </c>
      <c r="O339" t="s">
        <v>26</v>
      </c>
      <c r="P339" t="s">
        <v>26</v>
      </c>
      <c r="Q339" t="s">
        <v>28</v>
      </c>
      <c r="R339" s="7">
        <v>45827</v>
      </c>
      <c r="S339">
        <v>4</v>
      </c>
      <c r="T339">
        <v>9</v>
      </c>
      <c r="U339" t="s">
        <v>29</v>
      </c>
    </row>
    <row r="340" spans="1:21" x14ac:dyDescent="0.3">
      <c r="A340" t="s">
        <v>400</v>
      </c>
      <c r="B340" t="s">
        <v>53</v>
      </c>
      <c r="C340" t="s">
        <v>41</v>
      </c>
      <c r="D340">
        <v>6.1</v>
      </c>
      <c r="E340" t="s">
        <v>33</v>
      </c>
      <c r="F340" t="s">
        <v>25</v>
      </c>
      <c r="G340">
        <v>4000</v>
      </c>
      <c r="H340">
        <v>9</v>
      </c>
      <c r="I340">
        <v>27</v>
      </c>
      <c r="J340">
        <v>26</v>
      </c>
      <c r="K340">
        <v>96.3</v>
      </c>
      <c r="L340" t="s">
        <v>27</v>
      </c>
      <c r="M340" t="s">
        <v>26</v>
      </c>
      <c r="N340" t="s">
        <v>26</v>
      </c>
      <c r="O340" t="s">
        <v>26</v>
      </c>
      <c r="P340" t="s">
        <v>26</v>
      </c>
      <c r="Q340" t="s">
        <v>28</v>
      </c>
      <c r="R340" s="7">
        <v>45953</v>
      </c>
      <c r="S340">
        <v>3.9</v>
      </c>
      <c r="T340">
        <v>2</v>
      </c>
      <c r="U340" t="s">
        <v>29</v>
      </c>
    </row>
    <row r="341" spans="1:21" x14ac:dyDescent="0.3">
      <c r="A341" t="s">
        <v>401</v>
      </c>
      <c r="B341" t="s">
        <v>60</v>
      </c>
      <c r="C341" t="s">
        <v>47</v>
      </c>
      <c r="D341">
        <v>3.2</v>
      </c>
      <c r="E341" t="s">
        <v>24</v>
      </c>
      <c r="F341" t="s">
        <v>49</v>
      </c>
      <c r="G341">
        <v>6750</v>
      </c>
      <c r="H341">
        <v>27</v>
      </c>
      <c r="I341">
        <v>54</v>
      </c>
      <c r="J341">
        <v>39</v>
      </c>
      <c r="K341">
        <v>72.2</v>
      </c>
      <c r="L341" t="s">
        <v>26</v>
      </c>
      <c r="M341" t="s">
        <v>26</v>
      </c>
      <c r="N341" t="s">
        <v>27</v>
      </c>
      <c r="O341" t="s">
        <v>26</v>
      </c>
      <c r="P341" t="s">
        <v>26</v>
      </c>
      <c r="Q341" t="s">
        <v>28</v>
      </c>
      <c r="R341" s="7">
        <v>46126</v>
      </c>
      <c r="S341">
        <v>3.3</v>
      </c>
      <c r="T341">
        <v>4</v>
      </c>
      <c r="U341" t="s">
        <v>29</v>
      </c>
    </row>
    <row r="342" spans="1:21" x14ac:dyDescent="0.3">
      <c r="A342" t="s">
        <v>402</v>
      </c>
      <c r="B342" t="s">
        <v>53</v>
      </c>
      <c r="C342" t="s">
        <v>44</v>
      </c>
      <c r="D342">
        <v>3.3</v>
      </c>
      <c r="E342" t="s">
        <v>24</v>
      </c>
      <c r="F342" t="s">
        <v>49</v>
      </c>
      <c r="G342">
        <v>4750</v>
      </c>
      <c r="H342">
        <v>28</v>
      </c>
      <c r="I342">
        <v>56</v>
      </c>
      <c r="J342">
        <v>23</v>
      </c>
      <c r="K342">
        <v>41.1</v>
      </c>
      <c r="L342" t="s">
        <v>26</v>
      </c>
      <c r="M342" t="s">
        <v>26</v>
      </c>
      <c r="N342" t="s">
        <v>26</v>
      </c>
      <c r="O342" t="s">
        <v>26</v>
      </c>
      <c r="P342" t="s">
        <v>26</v>
      </c>
      <c r="Q342" t="s">
        <v>35</v>
      </c>
      <c r="R342" s="7">
        <v>46212</v>
      </c>
      <c r="S342">
        <v>4.4000000000000004</v>
      </c>
      <c r="T342">
        <v>10</v>
      </c>
      <c r="U342" t="s">
        <v>29</v>
      </c>
    </row>
    <row r="343" spans="1:21" x14ac:dyDescent="0.3">
      <c r="A343" t="s">
        <v>403</v>
      </c>
      <c r="B343" t="s">
        <v>58</v>
      </c>
      <c r="C343" t="s">
        <v>64</v>
      </c>
      <c r="D343">
        <v>5.6</v>
      </c>
      <c r="E343" t="s">
        <v>33</v>
      </c>
      <c r="F343" t="s">
        <v>34</v>
      </c>
      <c r="G343">
        <v>3000</v>
      </c>
      <c r="H343">
        <v>20</v>
      </c>
      <c r="I343">
        <v>60</v>
      </c>
      <c r="J343">
        <v>27</v>
      </c>
      <c r="K343">
        <v>45</v>
      </c>
      <c r="L343" t="s">
        <v>26</v>
      </c>
      <c r="M343" t="s">
        <v>26</v>
      </c>
      <c r="N343" t="s">
        <v>27</v>
      </c>
      <c r="O343" t="s">
        <v>26</v>
      </c>
      <c r="P343" t="s">
        <v>26</v>
      </c>
      <c r="Q343" t="s">
        <v>28</v>
      </c>
      <c r="R343" s="7">
        <v>45801</v>
      </c>
      <c r="S343">
        <v>3.6</v>
      </c>
      <c r="T343">
        <v>7</v>
      </c>
      <c r="U343" t="s">
        <v>29</v>
      </c>
    </row>
    <row r="344" spans="1:21" x14ac:dyDescent="0.3">
      <c r="A344" t="s">
        <v>404</v>
      </c>
      <c r="B344" t="s">
        <v>56</v>
      </c>
      <c r="C344" t="s">
        <v>81</v>
      </c>
      <c r="D344">
        <v>0.8</v>
      </c>
      <c r="E344" t="s">
        <v>48</v>
      </c>
      <c r="F344" t="s">
        <v>49</v>
      </c>
      <c r="G344">
        <v>2300</v>
      </c>
      <c r="H344">
        <v>40</v>
      </c>
      <c r="I344">
        <v>160</v>
      </c>
      <c r="J344">
        <v>133</v>
      </c>
      <c r="K344">
        <v>83.1</v>
      </c>
      <c r="L344" t="s">
        <v>27</v>
      </c>
      <c r="M344" t="s">
        <v>27</v>
      </c>
      <c r="N344" t="s">
        <v>26</v>
      </c>
      <c r="O344" t="s">
        <v>26</v>
      </c>
      <c r="P344" t="s">
        <v>26</v>
      </c>
      <c r="Q344" t="s">
        <v>28</v>
      </c>
      <c r="R344" s="7">
        <v>46147</v>
      </c>
      <c r="S344">
        <v>4.2</v>
      </c>
      <c r="T344">
        <v>4</v>
      </c>
      <c r="U344" t="s">
        <v>29</v>
      </c>
    </row>
    <row r="345" spans="1:21" x14ac:dyDescent="0.3">
      <c r="A345" t="s">
        <v>405</v>
      </c>
      <c r="B345" t="s">
        <v>56</v>
      </c>
      <c r="C345" t="s">
        <v>41</v>
      </c>
      <c r="D345">
        <v>7.1</v>
      </c>
      <c r="E345" t="s">
        <v>24</v>
      </c>
      <c r="F345" t="s">
        <v>49</v>
      </c>
      <c r="G345">
        <v>5000</v>
      </c>
      <c r="H345">
        <v>21</v>
      </c>
      <c r="I345">
        <v>42</v>
      </c>
      <c r="J345">
        <v>16</v>
      </c>
      <c r="K345">
        <v>38.1</v>
      </c>
      <c r="L345" t="s">
        <v>26</v>
      </c>
      <c r="M345" t="s">
        <v>27</v>
      </c>
      <c r="N345" t="s">
        <v>27</v>
      </c>
      <c r="O345" t="s">
        <v>27</v>
      </c>
      <c r="P345" t="s">
        <v>27</v>
      </c>
      <c r="Q345" t="s">
        <v>65</v>
      </c>
      <c r="R345" s="7">
        <v>45848</v>
      </c>
      <c r="S345">
        <v>4.3</v>
      </c>
      <c r="T345">
        <v>7</v>
      </c>
      <c r="U345" t="s">
        <v>29</v>
      </c>
    </row>
    <row r="346" spans="1:21" x14ac:dyDescent="0.3">
      <c r="A346" t="s">
        <v>406</v>
      </c>
      <c r="B346" t="s">
        <v>37</v>
      </c>
      <c r="C346" t="s">
        <v>23</v>
      </c>
      <c r="D346">
        <v>4.5999999999999996</v>
      </c>
      <c r="E346" t="s">
        <v>48</v>
      </c>
      <c r="F346" t="s">
        <v>25</v>
      </c>
      <c r="G346">
        <v>4550</v>
      </c>
      <c r="H346">
        <v>28</v>
      </c>
      <c r="I346">
        <v>112</v>
      </c>
      <c r="J346">
        <v>89</v>
      </c>
      <c r="K346">
        <v>79.5</v>
      </c>
      <c r="L346" t="s">
        <v>27</v>
      </c>
      <c r="M346" t="s">
        <v>26</v>
      </c>
      <c r="N346" t="s">
        <v>26</v>
      </c>
      <c r="O346" t="s">
        <v>26</v>
      </c>
      <c r="P346" t="s">
        <v>26</v>
      </c>
      <c r="Q346" t="s">
        <v>28</v>
      </c>
      <c r="R346" s="7">
        <v>46216</v>
      </c>
      <c r="S346">
        <v>3.5</v>
      </c>
      <c r="T346">
        <v>7</v>
      </c>
      <c r="U346" t="s">
        <v>29</v>
      </c>
    </row>
    <row r="347" spans="1:21" x14ac:dyDescent="0.3">
      <c r="A347" t="s">
        <v>407</v>
      </c>
      <c r="B347" t="s">
        <v>67</v>
      </c>
      <c r="C347" t="s">
        <v>32</v>
      </c>
      <c r="D347">
        <v>4</v>
      </c>
      <c r="E347" t="s">
        <v>54</v>
      </c>
      <c r="F347" t="s">
        <v>25</v>
      </c>
      <c r="G347">
        <v>7000</v>
      </c>
      <c r="H347">
        <v>26</v>
      </c>
      <c r="I347">
        <v>26</v>
      </c>
      <c r="J347">
        <v>23</v>
      </c>
      <c r="K347">
        <v>88.5</v>
      </c>
      <c r="L347" t="s">
        <v>26</v>
      </c>
      <c r="M347" t="s">
        <v>27</v>
      </c>
      <c r="N347" t="s">
        <v>26</v>
      </c>
      <c r="O347" t="s">
        <v>26</v>
      </c>
      <c r="P347" t="s">
        <v>26</v>
      </c>
      <c r="Q347" t="s">
        <v>28</v>
      </c>
      <c r="R347" s="7">
        <v>46074</v>
      </c>
      <c r="S347">
        <v>3.9</v>
      </c>
      <c r="T347">
        <v>9</v>
      </c>
      <c r="U347" t="s">
        <v>29</v>
      </c>
    </row>
    <row r="348" spans="1:21" x14ac:dyDescent="0.3">
      <c r="A348" t="s">
        <v>408</v>
      </c>
      <c r="B348" t="s">
        <v>67</v>
      </c>
      <c r="C348" t="s">
        <v>44</v>
      </c>
      <c r="D348">
        <v>3.6</v>
      </c>
      <c r="E348" t="s">
        <v>48</v>
      </c>
      <c r="F348" t="s">
        <v>25</v>
      </c>
      <c r="G348">
        <v>2050</v>
      </c>
      <c r="H348">
        <v>40</v>
      </c>
      <c r="I348">
        <v>160</v>
      </c>
      <c r="J348">
        <v>70</v>
      </c>
      <c r="K348">
        <v>43.8</v>
      </c>
      <c r="L348" t="s">
        <v>26</v>
      </c>
      <c r="M348" t="s">
        <v>27</v>
      </c>
      <c r="N348" t="s">
        <v>26</v>
      </c>
      <c r="O348" t="s">
        <v>26</v>
      </c>
      <c r="P348" t="s">
        <v>27</v>
      </c>
      <c r="Q348" t="s">
        <v>28</v>
      </c>
      <c r="R348" s="7">
        <v>45851</v>
      </c>
      <c r="S348">
        <v>4.3</v>
      </c>
      <c r="T348">
        <v>0</v>
      </c>
      <c r="U348" t="s">
        <v>29</v>
      </c>
    </row>
    <row r="349" spans="1:21" x14ac:dyDescent="0.3">
      <c r="A349" t="s">
        <v>409</v>
      </c>
      <c r="B349" t="s">
        <v>31</v>
      </c>
      <c r="C349" t="s">
        <v>64</v>
      </c>
      <c r="D349">
        <v>0.9</v>
      </c>
      <c r="E349" t="s">
        <v>33</v>
      </c>
      <c r="F349" t="s">
        <v>25</v>
      </c>
      <c r="G349">
        <v>5250</v>
      </c>
      <c r="H349">
        <v>18</v>
      </c>
      <c r="I349">
        <v>54</v>
      </c>
      <c r="J349">
        <v>25</v>
      </c>
      <c r="K349">
        <v>46.3</v>
      </c>
      <c r="L349" t="s">
        <v>26</v>
      </c>
      <c r="M349" t="s">
        <v>26</v>
      </c>
      <c r="N349" t="s">
        <v>27</v>
      </c>
      <c r="O349" t="s">
        <v>26</v>
      </c>
      <c r="P349" t="s">
        <v>27</v>
      </c>
      <c r="Q349" t="s">
        <v>28</v>
      </c>
      <c r="R349" s="7">
        <v>45760</v>
      </c>
      <c r="S349">
        <v>4.7</v>
      </c>
      <c r="T349">
        <v>16</v>
      </c>
      <c r="U349" t="s">
        <v>29</v>
      </c>
    </row>
    <row r="350" spans="1:21" x14ac:dyDescent="0.3">
      <c r="A350" t="s">
        <v>410</v>
      </c>
      <c r="B350" t="s">
        <v>37</v>
      </c>
      <c r="C350" t="s">
        <v>44</v>
      </c>
      <c r="D350">
        <v>3</v>
      </c>
      <c r="E350" t="s">
        <v>48</v>
      </c>
      <c r="F350" t="s">
        <v>49</v>
      </c>
      <c r="G350">
        <v>1800</v>
      </c>
      <c r="H350">
        <v>18</v>
      </c>
      <c r="I350">
        <v>72</v>
      </c>
      <c r="J350">
        <v>46</v>
      </c>
      <c r="K350">
        <v>63.9</v>
      </c>
      <c r="L350" t="s">
        <v>26</v>
      </c>
      <c r="M350" t="s">
        <v>27</v>
      </c>
      <c r="N350" t="s">
        <v>26</v>
      </c>
      <c r="O350" t="s">
        <v>26</v>
      </c>
      <c r="P350" t="s">
        <v>26</v>
      </c>
      <c r="Q350" t="s">
        <v>28</v>
      </c>
      <c r="R350" s="7">
        <v>45820</v>
      </c>
      <c r="S350">
        <v>3.7</v>
      </c>
      <c r="T350">
        <v>9</v>
      </c>
      <c r="U350" t="s">
        <v>29</v>
      </c>
    </row>
    <row r="351" spans="1:21" x14ac:dyDescent="0.3">
      <c r="A351" t="s">
        <v>411</v>
      </c>
      <c r="B351" t="s">
        <v>58</v>
      </c>
      <c r="C351" t="s">
        <v>44</v>
      </c>
      <c r="D351">
        <v>1.1000000000000001</v>
      </c>
      <c r="E351" t="s">
        <v>24</v>
      </c>
      <c r="F351" t="s">
        <v>34</v>
      </c>
      <c r="G351">
        <v>5000</v>
      </c>
      <c r="H351">
        <v>8</v>
      </c>
      <c r="I351">
        <v>16</v>
      </c>
      <c r="J351">
        <v>14</v>
      </c>
      <c r="K351">
        <v>87.5</v>
      </c>
      <c r="L351" t="s">
        <v>27</v>
      </c>
      <c r="M351" t="s">
        <v>26</v>
      </c>
      <c r="N351" t="s">
        <v>26</v>
      </c>
      <c r="O351" t="s">
        <v>26</v>
      </c>
      <c r="P351" t="s">
        <v>27</v>
      </c>
      <c r="Q351" t="s">
        <v>28</v>
      </c>
      <c r="R351" s="7">
        <v>45926</v>
      </c>
      <c r="S351">
        <v>4.9000000000000004</v>
      </c>
      <c r="T351">
        <v>15</v>
      </c>
      <c r="U351" t="s">
        <v>29</v>
      </c>
    </row>
    <row r="352" spans="1:21" x14ac:dyDescent="0.3">
      <c r="A352" t="s">
        <v>412</v>
      </c>
      <c r="B352" t="s">
        <v>31</v>
      </c>
      <c r="C352" t="s">
        <v>64</v>
      </c>
      <c r="D352">
        <v>3.5</v>
      </c>
      <c r="E352" t="s">
        <v>48</v>
      </c>
      <c r="F352" t="s">
        <v>34</v>
      </c>
      <c r="G352">
        <v>2050</v>
      </c>
      <c r="H352">
        <v>8</v>
      </c>
      <c r="I352">
        <v>32</v>
      </c>
      <c r="J352">
        <v>18</v>
      </c>
      <c r="K352">
        <v>56.2</v>
      </c>
      <c r="L352" t="s">
        <v>26</v>
      </c>
      <c r="M352" t="s">
        <v>26</v>
      </c>
      <c r="N352" t="s">
        <v>26</v>
      </c>
      <c r="O352" t="s">
        <v>26</v>
      </c>
      <c r="P352" t="s">
        <v>26</v>
      </c>
      <c r="Q352" t="s">
        <v>35</v>
      </c>
      <c r="R352" s="7">
        <v>46227</v>
      </c>
      <c r="S352">
        <v>3.9</v>
      </c>
      <c r="T352">
        <v>1</v>
      </c>
      <c r="U352" t="s">
        <v>29</v>
      </c>
    </row>
    <row r="353" spans="1:21" x14ac:dyDescent="0.3">
      <c r="A353" t="s">
        <v>413</v>
      </c>
      <c r="B353" t="s">
        <v>62</v>
      </c>
      <c r="C353" t="s">
        <v>41</v>
      </c>
      <c r="D353">
        <v>2.6</v>
      </c>
      <c r="E353" t="s">
        <v>54</v>
      </c>
      <c r="F353" t="s">
        <v>49</v>
      </c>
      <c r="G353">
        <v>5750</v>
      </c>
      <c r="H353">
        <v>14</v>
      </c>
      <c r="I353">
        <v>14</v>
      </c>
      <c r="J353">
        <v>10</v>
      </c>
      <c r="K353">
        <v>71.400000000000006</v>
      </c>
      <c r="L353" t="s">
        <v>26</v>
      </c>
      <c r="M353" t="s">
        <v>27</v>
      </c>
      <c r="N353" t="s">
        <v>27</v>
      </c>
      <c r="O353" t="s">
        <v>26</v>
      </c>
      <c r="P353" t="s">
        <v>26</v>
      </c>
      <c r="Q353" t="s">
        <v>28</v>
      </c>
      <c r="R353" s="7">
        <v>45849</v>
      </c>
      <c r="S353">
        <v>3.9</v>
      </c>
      <c r="T353">
        <v>18</v>
      </c>
      <c r="U353" t="s">
        <v>29</v>
      </c>
    </row>
    <row r="354" spans="1:21" x14ac:dyDescent="0.3">
      <c r="A354" t="s">
        <v>414</v>
      </c>
      <c r="B354" t="s">
        <v>67</v>
      </c>
      <c r="C354" t="s">
        <v>38</v>
      </c>
      <c r="D354">
        <v>5.8</v>
      </c>
      <c r="E354" t="s">
        <v>33</v>
      </c>
      <c r="F354" t="s">
        <v>34</v>
      </c>
      <c r="G354">
        <v>3750</v>
      </c>
      <c r="H354">
        <v>32</v>
      </c>
      <c r="I354">
        <v>96</v>
      </c>
      <c r="J354">
        <v>41</v>
      </c>
      <c r="K354">
        <v>42.7</v>
      </c>
      <c r="L354" t="s">
        <v>26</v>
      </c>
      <c r="M354" t="s">
        <v>26</v>
      </c>
      <c r="N354" t="s">
        <v>26</v>
      </c>
      <c r="O354" t="s">
        <v>26</v>
      </c>
      <c r="P354" t="s">
        <v>26</v>
      </c>
      <c r="Q354" t="s">
        <v>35</v>
      </c>
      <c r="R354" s="7">
        <v>46104</v>
      </c>
      <c r="S354">
        <v>3.7</v>
      </c>
      <c r="T354">
        <v>8</v>
      </c>
      <c r="U354" t="s">
        <v>29</v>
      </c>
    </row>
    <row r="355" spans="1:21" x14ac:dyDescent="0.3">
      <c r="A355" t="s">
        <v>415</v>
      </c>
      <c r="B355" t="s">
        <v>31</v>
      </c>
      <c r="C355" t="s">
        <v>23</v>
      </c>
      <c r="D355">
        <v>1</v>
      </c>
      <c r="E355" t="s">
        <v>54</v>
      </c>
      <c r="F355" t="s">
        <v>34</v>
      </c>
      <c r="G355">
        <v>9250</v>
      </c>
      <c r="H355">
        <v>26</v>
      </c>
      <c r="I355">
        <v>26</v>
      </c>
      <c r="J355">
        <v>22</v>
      </c>
      <c r="K355">
        <v>84.6</v>
      </c>
      <c r="L355" t="s">
        <v>27</v>
      </c>
      <c r="M355" t="s">
        <v>27</v>
      </c>
      <c r="N355" t="s">
        <v>26</v>
      </c>
      <c r="O355" t="s">
        <v>26</v>
      </c>
      <c r="P355" t="s">
        <v>26</v>
      </c>
      <c r="Q355" t="s">
        <v>28</v>
      </c>
      <c r="R355" s="7">
        <v>45991</v>
      </c>
      <c r="S355">
        <v>4.5</v>
      </c>
      <c r="T355">
        <v>15</v>
      </c>
      <c r="U355" t="s">
        <v>29</v>
      </c>
    </row>
    <row r="356" spans="1:21" x14ac:dyDescent="0.3">
      <c r="A356" t="s">
        <v>416</v>
      </c>
      <c r="B356" t="s">
        <v>60</v>
      </c>
      <c r="C356" t="s">
        <v>47</v>
      </c>
      <c r="D356">
        <v>5.4</v>
      </c>
      <c r="E356" t="s">
        <v>24</v>
      </c>
      <c r="F356" t="s">
        <v>25</v>
      </c>
      <c r="G356">
        <v>3500</v>
      </c>
      <c r="H356">
        <v>15</v>
      </c>
      <c r="I356">
        <v>30</v>
      </c>
      <c r="J356">
        <v>10</v>
      </c>
      <c r="K356">
        <v>33.299999999999997</v>
      </c>
      <c r="L356" t="s">
        <v>27</v>
      </c>
      <c r="M356" t="s">
        <v>27</v>
      </c>
      <c r="N356" t="s">
        <v>27</v>
      </c>
      <c r="O356" t="s">
        <v>26</v>
      </c>
      <c r="P356" t="s">
        <v>26</v>
      </c>
      <c r="Q356" t="s">
        <v>65</v>
      </c>
      <c r="R356" s="7">
        <v>46143</v>
      </c>
      <c r="S356">
        <v>3.6</v>
      </c>
      <c r="T356">
        <v>1</v>
      </c>
      <c r="U356" t="s">
        <v>29</v>
      </c>
    </row>
    <row r="357" spans="1:21" x14ac:dyDescent="0.3">
      <c r="A357" t="s">
        <v>417</v>
      </c>
      <c r="B357" t="s">
        <v>31</v>
      </c>
      <c r="C357" t="s">
        <v>23</v>
      </c>
      <c r="D357">
        <v>4.9000000000000004</v>
      </c>
      <c r="E357" t="s">
        <v>33</v>
      </c>
      <c r="F357" t="s">
        <v>25</v>
      </c>
      <c r="G357">
        <v>3500</v>
      </c>
      <c r="H357">
        <v>12</v>
      </c>
      <c r="I357">
        <v>36</v>
      </c>
      <c r="J357">
        <v>21</v>
      </c>
      <c r="K357">
        <v>58.3</v>
      </c>
      <c r="L357" t="s">
        <v>26</v>
      </c>
      <c r="M357" t="s">
        <v>26</v>
      </c>
      <c r="N357" t="s">
        <v>26</v>
      </c>
      <c r="O357" t="s">
        <v>26</v>
      </c>
      <c r="P357" t="s">
        <v>26</v>
      </c>
      <c r="Q357" t="s">
        <v>35</v>
      </c>
      <c r="R357" s="7">
        <v>45974</v>
      </c>
      <c r="S357">
        <v>4.5999999999999996</v>
      </c>
      <c r="T357">
        <v>12</v>
      </c>
      <c r="U357" t="s">
        <v>29</v>
      </c>
    </row>
    <row r="358" spans="1:21" x14ac:dyDescent="0.3">
      <c r="A358" t="s">
        <v>418</v>
      </c>
      <c r="B358" t="s">
        <v>62</v>
      </c>
      <c r="C358" t="s">
        <v>23</v>
      </c>
      <c r="D358">
        <v>6.3</v>
      </c>
      <c r="E358" t="s">
        <v>24</v>
      </c>
      <c r="F358" t="s">
        <v>49</v>
      </c>
      <c r="G358">
        <v>6000</v>
      </c>
      <c r="H358">
        <v>29</v>
      </c>
      <c r="I358">
        <v>58</v>
      </c>
      <c r="J358">
        <v>50</v>
      </c>
      <c r="K358">
        <v>86.2</v>
      </c>
      <c r="L358" t="s">
        <v>26</v>
      </c>
      <c r="M358" t="s">
        <v>27</v>
      </c>
      <c r="N358" t="s">
        <v>26</v>
      </c>
      <c r="O358" t="s">
        <v>26</v>
      </c>
      <c r="P358" t="s">
        <v>26</v>
      </c>
      <c r="Q358" t="s">
        <v>28</v>
      </c>
      <c r="R358" s="7">
        <v>46152</v>
      </c>
      <c r="S358">
        <v>4.5</v>
      </c>
      <c r="T358">
        <v>17</v>
      </c>
      <c r="U358" t="s">
        <v>29</v>
      </c>
    </row>
    <row r="359" spans="1:21" x14ac:dyDescent="0.3">
      <c r="A359" t="s">
        <v>419</v>
      </c>
      <c r="B359" t="s">
        <v>67</v>
      </c>
      <c r="C359" t="s">
        <v>41</v>
      </c>
      <c r="D359">
        <v>4.3</v>
      </c>
      <c r="E359" t="s">
        <v>33</v>
      </c>
      <c r="F359" t="s">
        <v>49</v>
      </c>
      <c r="G359">
        <v>4500</v>
      </c>
      <c r="H359">
        <v>42</v>
      </c>
      <c r="I359">
        <v>126</v>
      </c>
      <c r="J359">
        <v>46</v>
      </c>
      <c r="K359">
        <v>36.5</v>
      </c>
      <c r="L359" t="s">
        <v>26</v>
      </c>
      <c r="M359" t="s">
        <v>26</v>
      </c>
      <c r="N359" t="s">
        <v>26</v>
      </c>
      <c r="O359" t="s">
        <v>26</v>
      </c>
      <c r="P359" t="s">
        <v>26</v>
      </c>
      <c r="Q359" t="s">
        <v>35</v>
      </c>
      <c r="R359" s="7">
        <v>45880</v>
      </c>
      <c r="S359">
        <v>3.6</v>
      </c>
      <c r="T359">
        <v>0</v>
      </c>
      <c r="U359" t="s">
        <v>29</v>
      </c>
    </row>
    <row r="360" spans="1:21" x14ac:dyDescent="0.3">
      <c r="A360" t="s">
        <v>420</v>
      </c>
      <c r="B360" t="s">
        <v>37</v>
      </c>
      <c r="C360" t="s">
        <v>44</v>
      </c>
      <c r="D360">
        <v>4.4000000000000004</v>
      </c>
      <c r="E360" t="s">
        <v>48</v>
      </c>
      <c r="F360" t="s">
        <v>49</v>
      </c>
      <c r="G360">
        <v>2300</v>
      </c>
      <c r="H360">
        <v>15</v>
      </c>
      <c r="I360">
        <v>60</v>
      </c>
      <c r="J360">
        <v>40</v>
      </c>
      <c r="K360">
        <v>66.7</v>
      </c>
      <c r="L360" t="s">
        <v>26</v>
      </c>
      <c r="M360" t="s">
        <v>27</v>
      </c>
      <c r="N360" t="s">
        <v>26</v>
      </c>
      <c r="O360" t="s">
        <v>26</v>
      </c>
      <c r="P360" t="s">
        <v>26</v>
      </c>
      <c r="Q360" t="s">
        <v>28</v>
      </c>
      <c r="R360" s="7">
        <v>45989</v>
      </c>
      <c r="S360">
        <v>3.3</v>
      </c>
      <c r="T360">
        <v>7</v>
      </c>
      <c r="U360" t="s">
        <v>29</v>
      </c>
    </row>
    <row r="361" spans="1:21" x14ac:dyDescent="0.3">
      <c r="A361" t="s">
        <v>421</v>
      </c>
      <c r="B361" t="s">
        <v>31</v>
      </c>
      <c r="C361" t="s">
        <v>41</v>
      </c>
      <c r="D361">
        <v>1.5</v>
      </c>
      <c r="E361" t="s">
        <v>33</v>
      </c>
      <c r="F361" t="s">
        <v>49</v>
      </c>
      <c r="G361">
        <v>5500</v>
      </c>
      <c r="H361">
        <v>10</v>
      </c>
      <c r="I361">
        <v>30</v>
      </c>
      <c r="J361">
        <v>16</v>
      </c>
      <c r="K361">
        <v>53.3</v>
      </c>
      <c r="L361" t="s">
        <v>26</v>
      </c>
      <c r="M361" t="s">
        <v>26</v>
      </c>
      <c r="N361" t="s">
        <v>26</v>
      </c>
      <c r="O361" t="s">
        <v>27</v>
      </c>
      <c r="P361" t="s">
        <v>26</v>
      </c>
      <c r="Q361" t="s">
        <v>28</v>
      </c>
      <c r="R361" s="7">
        <v>45761</v>
      </c>
      <c r="S361">
        <v>4.7</v>
      </c>
      <c r="T361">
        <v>10</v>
      </c>
      <c r="U361" t="s">
        <v>29</v>
      </c>
    </row>
    <row r="362" spans="1:21" x14ac:dyDescent="0.3">
      <c r="A362" t="s">
        <v>422</v>
      </c>
      <c r="B362" t="s">
        <v>53</v>
      </c>
      <c r="C362" t="s">
        <v>41</v>
      </c>
      <c r="D362">
        <v>5.9</v>
      </c>
      <c r="E362" t="s">
        <v>24</v>
      </c>
      <c r="F362" t="s">
        <v>25</v>
      </c>
      <c r="G362">
        <v>4250</v>
      </c>
      <c r="H362">
        <v>41</v>
      </c>
      <c r="I362">
        <v>82</v>
      </c>
      <c r="J362">
        <v>71</v>
      </c>
      <c r="K362">
        <v>86.6</v>
      </c>
      <c r="L362" t="s">
        <v>27</v>
      </c>
      <c r="M362" t="s">
        <v>26</v>
      </c>
      <c r="N362" t="s">
        <v>26</v>
      </c>
      <c r="O362" t="s">
        <v>26</v>
      </c>
      <c r="P362" t="s">
        <v>26</v>
      </c>
      <c r="Q362" t="s">
        <v>28</v>
      </c>
      <c r="R362" s="7">
        <v>45802</v>
      </c>
      <c r="S362">
        <v>3.9</v>
      </c>
      <c r="T362">
        <v>0</v>
      </c>
      <c r="U362" t="s">
        <v>29</v>
      </c>
    </row>
    <row r="363" spans="1:21" x14ac:dyDescent="0.3">
      <c r="A363" t="s">
        <v>423</v>
      </c>
      <c r="B363" t="s">
        <v>43</v>
      </c>
      <c r="C363" t="s">
        <v>81</v>
      </c>
      <c r="D363">
        <v>3.6</v>
      </c>
      <c r="E363" t="s">
        <v>54</v>
      </c>
      <c r="F363" t="s">
        <v>34</v>
      </c>
      <c r="G363">
        <v>6250</v>
      </c>
      <c r="H363">
        <v>41</v>
      </c>
      <c r="I363">
        <v>41</v>
      </c>
      <c r="J363">
        <v>38</v>
      </c>
      <c r="K363">
        <v>92.7</v>
      </c>
      <c r="L363" t="s">
        <v>26</v>
      </c>
      <c r="M363" t="s">
        <v>26</v>
      </c>
      <c r="N363" t="s">
        <v>27</v>
      </c>
      <c r="O363" t="s">
        <v>26</v>
      </c>
      <c r="P363" t="s">
        <v>26</v>
      </c>
      <c r="Q363" t="s">
        <v>28</v>
      </c>
      <c r="R363" s="7">
        <v>45986</v>
      </c>
      <c r="S363">
        <v>4.2</v>
      </c>
      <c r="T363">
        <v>6</v>
      </c>
      <c r="U363" t="s">
        <v>29</v>
      </c>
    </row>
    <row r="364" spans="1:21" x14ac:dyDescent="0.3">
      <c r="A364" t="s">
        <v>424</v>
      </c>
      <c r="B364" t="s">
        <v>58</v>
      </c>
      <c r="C364" t="s">
        <v>41</v>
      </c>
      <c r="D364">
        <v>4.0999999999999996</v>
      </c>
      <c r="E364" t="s">
        <v>48</v>
      </c>
      <c r="F364" t="s">
        <v>49</v>
      </c>
      <c r="G364">
        <v>4300</v>
      </c>
      <c r="H364">
        <v>15</v>
      </c>
      <c r="I364">
        <v>60</v>
      </c>
      <c r="J364">
        <v>38</v>
      </c>
      <c r="K364">
        <v>63.3</v>
      </c>
      <c r="L364" t="s">
        <v>26</v>
      </c>
      <c r="M364" t="s">
        <v>26</v>
      </c>
      <c r="N364" t="s">
        <v>26</v>
      </c>
      <c r="O364" t="s">
        <v>26</v>
      </c>
      <c r="P364" t="s">
        <v>26</v>
      </c>
      <c r="Q364" t="s">
        <v>35</v>
      </c>
      <c r="R364" s="7">
        <v>45819</v>
      </c>
      <c r="S364">
        <v>3.3</v>
      </c>
      <c r="T364">
        <v>6</v>
      </c>
      <c r="U364" t="s">
        <v>29</v>
      </c>
    </row>
    <row r="365" spans="1:21" x14ac:dyDescent="0.3">
      <c r="A365" t="s">
        <v>425</v>
      </c>
      <c r="B365" t="s">
        <v>75</v>
      </c>
      <c r="C365" t="s">
        <v>41</v>
      </c>
      <c r="D365">
        <v>4.4000000000000004</v>
      </c>
      <c r="E365" t="s">
        <v>24</v>
      </c>
      <c r="F365" t="s">
        <v>34</v>
      </c>
      <c r="G365">
        <v>4000</v>
      </c>
      <c r="H365">
        <v>27</v>
      </c>
      <c r="I365">
        <v>54</v>
      </c>
      <c r="J365">
        <v>39</v>
      </c>
      <c r="K365">
        <v>72.2</v>
      </c>
      <c r="L365" t="s">
        <v>26</v>
      </c>
      <c r="M365" t="s">
        <v>27</v>
      </c>
      <c r="N365" t="s">
        <v>26</v>
      </c>
      <c r="O365" t="s">
        <v>27</v>
      </c>
      <c r="P365" t="s">
        <v>26</v>
      </c>
      <c r="Q365" t="s">
        <v>28</v>
      </c>
      <c r="R365" s="7">
        <v>46220</v>
      </c>
      <c r="S365">
        <v>3.8</v>
      </c>
      <c r="T365">
        <v>1</v>
      </c>
      <c r="U365" t="s">
        <v>29</v>
      </c>
    </row>
    <row r="366" spans="1:21" x14ac:dyDescent="0.3">
      <c r="A366" t="s">
        <v>426</v>
      </c>
      <c r="B366" t="s">
        <v>37</v>
      </c>
      <c r="C366" t="s">
        <v>23</v>
      </c>
      <c r="D366">
        <v>0.8</v>
      </c>
      <c r="E366" t="s">
        <v>48</v>
      </c>
      <c r="F366" t="s">
        <v>25</v>
      </c>
      <c r="G366">
        <v>2300</v>
      </c>
      <c r="H366">
        <v>45</v>
      </c>
      <c r="I366">
        <v>180</v>
      </c>
      <c r="J366">
        <v>142</v>
      </c>
      <c r="K366">
        <v>78.900000000000006</v>
      </c>
      <c r="L366" t="s">
        <v>26</v>
      </c>
      <c r="M366" t="s">
        <v>26</v>
      </c>
      <c r="N366" t="s">
        <v>26</v>
      </c>
      <c r="O366" t="s">
        <v>26</v>
      </c>
      <c r="P366" t="s">
        <v>26</v>
      </c>
      <c r="Q366" t="s">
        <v>35</v>
      </c>
      <c r="R366" s="7">
        <v>46123</v>
      </c>
      <c r="S366">
        <v>3.8</v>
      </c>
      <c r="T366">
        <v>14</v>
      </c>
      <c r="U366" t="s">
        <v>29</v>
      </c>
    </row>
    <row r="367" spans="1:21" x14ac:dyDescent="0.3">
      <c r="A367" t="s">
        <v>427</v>
      </c>
      <c r="B367" t="s">
        <v>85</v>
      </c>
      <c r="C367" t="s">
        <v>38</v>
      </c>
      <c r="D367">
        <v>3.5</v>
      </c>
      <c r="E367" t="s">
        <v>48</v>
      </c>
      <c r="F367" t="s">
        <v>49</v>
      </c>
      <c r="G367">
        <v>3550</v>
      </c>
      <c r="H367">
        <v>22</v>
      </c>
      <c r="I367">
        <v>88</v>
      </c>
      <c r="J367">
        <v>44</v>
      </c>
      <c r="K367">
        <v>50</v>
      </c>
      <c r="L367" t="s">
        <v>26</v>
      </c>
      <c r="M367" t="s">
        <v>26</v>
      </c>
      <c r="N367" t="s">
        <v>26</v>
      </c>
      <c r="O367" t="s">
        <v>26</v>
      </c>
      <c r="P367" t="s">
        <v>26</v>
      </c>
      <c r="Q367" t="s">
        <v>35</v>
      </c>
      <c r="R367" s="7">
        <v>45814</v>
      </c>
      <c r="S367">
        <v>3.9</v>
      </c>
      <c r="T367">
        <v>10</v>
      </c>
      <c r="U367" t="s">
        <v>29</v>
      </c>
    </row>
    <row r="368" spans="1:21" x14ac:dyDescent="0.3">
      <c r="A368" t="s">
        <v>428</v>
      </c>
      <c r="B368" t="s">
        <v>150</v>
      </c>
      <c r="C368" t="s">
        <v>23</v>
      </c>
      <c r="D368">
        <v>0.7</v>
      </c>
      <c r="E368" t="s">
        <v>54</v>
      </c>
      <c r="F368" t="s">
        <v>49</v>
      </c>
      <c r="G368">
        <v>8250</v>
      </c>
      <c r="H368">
        <v>38</v>
      </c>
      <c r="I368">
        <v>38</v>
      </c>
      <c r="J368">
        <v>27</v>
      </c>
      <c r="K368">
        <v>71.099999999999994</v>
      </c>
      <c r="L368" t="s">
        <v>26</v>
      </c>
      <c r="M368" t="s">
        <v>26</v>
      </c>
      <c r="N368" t="s">
        <v>27</v>
      </c>
      <c r="O368" t="s">
        <v>26</v>
      </c>
      <c r="P368" t="s">
        <v>26</v>
      </c>
      <c r="Q368" t="s">
        <v>28</v>
      </c>
      <c r="R368" s="7">
        <v>45841</v>
      </c>
      <c r="S368">
        <v>4.4000000000000004</v>
      </c>
      <c r="T368">
        <v>12</v>
      </c>
      <c r="U368" t="s">
        <v>29</v>
      </c>
    </row>
    <row r="369" spans="1:21" x14ac:dyDescent="0.3">
      <c r="A369" t="s">
        <v>429</v>
      </c>
      <c r="B369" t="s">
        <v>72</v>
      </c>
      <c r="C369" t="s">
        <v>38</v>
      </c>
      <c r="D369">
        <v>6</v>
      </c>
      <c r="E369" t="s">
        <v>48</v>
      </c>
      <c r="F369" t="s">
        <v>34</v>
      </c>
      <c r="G369">
        <v>3300</v>
      </c>
      <c r="H369">
        <v>45</v>
      </c>
      <c r="I369">
        <v>180</v>
      </c>
      <c r="J369">
        <v>114</v>
      </c>
      <c r="K369">
        <v>63.3</v>
      </c>
      <c r="L369" t="s">
        <v>27</v>
      </c>
      <c r="M369" t="s">
        <v>26</v>
      </c>
      <c r="N369" t="s">
        <v>26</v>
      </c>
      <c r="O369" t="s">
        <v>26</v>
      </c>
      <c r="P369" t="s">
        <v>26</v>
      </c>
      <c r="Q369" t="s">
        <v>28</v>
      </c>
      <c r="R369" s="7">
        <v>45911</v>
      </c>
      <c r="S369">
        <v>3.1</v>
      </c>
      <c r="T369">
        <v>10</v>
      </c>
      <c r="U369" t="s">
        <v>29</v>
      </c>
    </row>
    <row r="370" spans="1:21" x14ac:dyDescent="0.3">
      <c r="A370" t="s">
        <v>430</v>
      </c>
      <c r="B370" t="s">
        <v>62</v>
      </c>
      <c r="C370" t="s">
        <v>32</v>
      </c>
      <c r="D370">
        <v>5.9</v>
      </c>
      <c r="E370" t="s">
        <v>48</v>
      </c>
      <c r="F370" t="s">
        <v>34</v>
      </c>
      <c r="G370">
        <v>4050</v>
      </c>
      <c r="H370">
        <v>29</v>
      </c>
      <c r="I370">
        <v>116</v>
      </c>
      <c r="J370">
        <v>109</v>
      </c>
      <c r="K370">
        <v>94</v>
      </c>
      <c r="L370" t="s">
        <v>27</v>
      </c>
      <c r="M370" t="s">
        <v>26</v>
      </c>
      <c r="N370" t="s">
        <v>27</v>
      </c>
      <c r="O370" t="s">
        <v>26</v>
      </c>
      <c r="P370" t="s">
        <v>26</v>
      </c>
      <c r="Q370" t="s">
        <v>28</v>
      </c>
      <c r="R370" s="7">
        <v>45908</v>
      </c>
      <c r="S370">
        <v>3.6</v>
      </c>
      <c r="T370">
        <v>18</v>
      </c>
      <c r="U370" t="s">
        <v>29</v>
      </c>
    </row>
    <row r="371" spans="1:21" x14ac:dyDescent="0.3">
      <c r="A371" t="s">
        <v>431</v>
      </c>
      <c r="B371" t="s">
        <v>85</v>
      </c>
      <c r="C371" t="s">
        <v>44</v>
      </c>
      <c r="D371">
        <v>2.4</v>
      </c>
      <c r="E371" t="s">
        <v>48</v>
      </c>
      <c r="F371" t="s">
        <v>25</v>
      </c>
      <c r="G371">
        <v>2050</v>
      </c>
      <c r="H371">
        <v>14</v>
      </c>
      <c r="I371">
        <v>56</v>
      </c>
      <c r="J371">
        <v>43</v>
      </c>
      <c r="K371">
        <v>76.8</v>
      </c>
      <c r="L371" t="s">
        <v>26</v>
      </c>
      <c r="M371" t="s">
        <v>26</v>
      </c>
      <c r="N371" t="s">
        <v>26</v>
      </c>
      <c r="O371" t="s">
        <v>27</v>
      </c>
      <c r="P371" t="s">
        <v>26</v>
      </c>
      <c r="Q371" t="s">
        <v>28</v>
      </c>
      <c r="R371" s="7">
        <v>46002</v>
      </c>
      <c r="S371">
        <v>3.7</v>
      </c>
      <c r="T371">
        <v>18</v>
      </c>
      <c r="U371" t="s">
        <v>29</v>
      </c>
    </row>
    <row r="372" spans="1:21" x14ac:dyDescent="0.3">
      <c r="A372" t="s">
        <v>432</v>
      </c>
      <c r="B372" t="s">
        <v>56</v>
      </c>
      <c r="C372" t="s">
        <v>44</v>
      </c>
      <c r="D372">
        <v>5</v>
      </c>
      <c r="E372" t="s">
        <v>48</v>
      </c>
      <c r="F372" t="s">
        <v>49</v>
      </c>
      <c r="G372">
        <v>3800</v>
      </c>
      <c r="H372">
        <v>26</v>
      </c>
      <c r="I372">
        <v>104</v>
      </c>
      <c r="J372">
        <v>85</v>
      </c>
      <c r="K372">
        <v>81.7</v>
      </c>
      <c r="L372" t="s">
        <v>26</v>
      </c>
      <c r="M372" t="s">
        <v>26</v>
      </c>
      <c r="N372" t="s">
        <v>27</v>
      </c>
      <c r="O372" t="s">
        <v>26</v>
      </c>
      <c r="P372" t="s">
        <v>26</v>
      </c>
      <c r="Q372" t="s">
        <v>28</v>
      </c>
      <c r="R372" s="7">
        <v>46124</v>
      </c>
      <c r="S372">
        <v>4.2</v>
      </c>
      <c r="T372">
        <v>18</v>
      </c>
      <c r="U372" t="s">
        <v>29</v>
      </c>
    </row>
    <row r="373" spans="1:21" x14ac:dyDescent="0.3">
      <c r="A373" t="s">
        <v>433</v>
      </c>
      <c r="B373" t="s">
        <v>51</v>
      </c>
      <c r="C373" t="s">
        <v>38</v>
      </c>
      <c r="D373">
        <v>4.5</v>
      </c>
      <c r="E373" t="s">
        <v>48</v>
      </c>
      <c r="F373" t="s">
        <v>34</v>
      </c>
      <c r="G373">
        <v>2300</v>
      </c>
      <c r="H373">
        <v>26</v>
      </c>
      <c r="I373">
        <v>104</v>
      </c>
      <c r="J373">
        <v>43</v>
      </c>
      <c r="K373">
        <v>41.3</v>
      </c>
      <c r="L373" t="s">
        <v>26</v>
      </c>
      <c r="M373" t="s">
        <v>26</v>
      </c>
      <c r="N373" t="s">
        <v>27</v>
      </c>
      <c r="O373" t="s">
        <v>26</v>
      </c>
      <c r="P373" t="s">
        <v>26</v>
      </c>
      <c r="Q373" t="s">
        <v>28</v>
      </c>
      <c r="R373" s="7">
        <v>46045</v>
      </c>
      <c r="S373">
        <v>3.2</v>
      </c>
      <c r="T373">
        <v>9</v>
      </c>
      <c r="U373" t="s">
        <v>29</v>
      </c>
    </row>
    <row r="374" spans="1:21" x14ac:dyDescent="0.3">
      <c r="A374" t="s">
        <v>434</v>
      </c>
      <c r="B374" t="s">
        <v>40</v>
      </c>
      <c r="C374" t="s">
        <v>32</v>
      </c>
      <c r="D374">
        <v>5.3</v>
      </c>
      <c r="E374" t="s">
        <v>48</v>
      </c>
      <c r="F374" t="s">
        <v>49</v>
      </c>
      <c r="G374">
        <v>4300</v>
      </c>
      <c r="H374">
        <v>28</v>
      </c>
      <c r="I374">
        <v>112</v>
      </c>
      <c r="J374">
        <v>87</v>
      </c>
      <c r="K374">
        <v>77.7</v>
      </c>
      <c r="L374" t="s">
        <v>26</v>
      </c>
      <c r="M374" t="s">
        <v>26</v>
      </c>
      <c r="N374" t="s">
        <v>27</v>
      </c>
      <c r="O374" t="s">
        <v>27</v>
      </c>
      <c r="P374" t="s">
        <v>27</v>
      </c>
      <c r="Q374" t="s">
        <v>65</v>
      </c>
      <c r="R374" s="7">
        <v>46082</v>
      </c>
      <c r="S374">
        <v>4.4000000000000004</v>
      </c>
      <c r="T374">
        <v>15</v>
      </c>
      <c r="U374" t="s">
        <v>29</v>
      </c>
    </row>
    <row r="375" spans="1:21" x14ac:dyDescent="0.3">
      <c r="A375" t="s">
        <v>435</v>
      </c>
      <c r="B375" t="s">
        <v>83</v>
      </c>
      <c r="C375" t="s">
        <v>44</v>
      </c>
      <c r="D375">
        <v>2.2999999999999998</v>
      </c>
      <c r="E375" t="s">
        <v>24</v>
      </c>
      <c r="F375" t="s">
        <v>34</v>
      </c>
      <c r="G375">
        <v>4500</v>
      </c>
      <c r="H375">
        <v>8</v>
      </c>
      <c r="I375">
        <v>16</v>
      </c>
      <c r="J375">
        <v>6</v>
      </c>
      <c r="K375">
        <v>37.5</v>
      </c>
      <c r="L375" t="s">
        <v>27</v>
      </c>
      <c r="M375" t="s">
        <v>26</v>
      </c>
      <c r="N375" t="s">
        <v>27</v>
      </c>
      <c r="O375" t="s">
        <v>26</v>
      </c>
      <c r="P375" t="s">
        <v>27</v>
      </c>
      <c r="Q375" t="s">
        <v>65</v>
      </c>
      <c r="R375" s="7">
        <v>45683</v>
      </c>
      <c r="S375">
        <v>4.5</v>
      </c>
      <c r="T375">
        <v>2</v>
      </c>
      <c r="U375" t="s">
        <v>29</v>
      </c>
    </row>
    <row r="376" spans="1:21" x14ac:dyDescent="0.3">
      <c r="A376" t="s">
        <v>436</v>
      </c>
      <c r="B376" t="s">
        <v>83</v>
      </c>
      <c r="C376" t="s">
        <v>64</v>
      </c>
      <c r="D376">
        <v>6.7</v>
      </c>
      <c r="E376" t="s">
        <v>48</v>
      </c>
      <c r="F376" t="s">
        <v>49</v>
      </c>
      <c r="G376">
        <v>4050</v>
      </c>
      <c r="H376">
        <v>19</v>
      </c>
      <c r="I376">
        <v>76</v>
      </c>
      <c r="J376">
        <v>55</v>
      </c>
      <c r="K376">
        <v>72.400000000000006</v>
      </c>
      <c r="L376" t="s">
        <v>26</v>
      </c>
      <c r="M376" t="s">
        <v>26</v>
      </c>
      <c r="N376" t="s">
        <v>26</v>
      </c>
      <c r="O376" t="s">
        <v>27</v>
      </c>
      <c r="P376" t="s">
        <v>27</v>
      </c>
      <c r="Q376" t="s">
        <v>28</v>
      </c>
      <c r="R376" s="7">
        <v>46188</v>
      </c>
      <c r="S376">
        <v>3.9</v>
      </c>
      <c r="T376">
        <v>5</v>
      </c>
      <c r="U376" t="s">
        <v>29</v>
      </c>
    </row>
    <row r="377" spans="1:21" x14ac:dyDescent="0.3">
      <c r="A377" t="s">
        <v>437</v>
      </c>
      <c r="B377" t="s">
        <v>40</v>
      </c>
      <c r="C377" t="s">
        <v>41</v>
      </c>
      <c r="D377">
        <v>3.2</v>
      </c>
      <c r="E377" t="s">
        <v>33</v>
      </c>
      <c r="F377" t="s">
        <v>25</v>
      </c>
      <c r="G377">
        <v>2500</v>
      </c>
      <c r="H377">
        <v>10</v>
      </c>
      <c r="I377">
        <v>30</v>
      </c>
      <c r="J377">
        <v>28</v>
      </c>
      <c r="K377">
        <v>93.3</v>
      </c>
      <c r="L377" t="s">
        <v>27</v>
      </c>
      <c r="M377" t="s">
        <v>26</v>
      </c>
      <c r="N377" t="s">
        <v>27</v>
      </c>
      <c r="O377" t="s">
        <v>26</v>
      </c>
      <c r="P377" t="s">
        <v>26</v>
      </c>
      <c r="Q377" t="s">
        <v>28</v>
      </c>
      <c r="R377" s="7">
        <v>46161</v>
      </c>
      <c r="S377">
        <v>4</v>
      </c>
      <c r="T377">
        <v>4</v>
      </c>
      <c r="U377" t="s">
        <v>29</v>
      </c>
    </row>
    <row r="378" spans="1:21" x14ac:dyDescent="0.3">
      <c r="A378" t="s">
        <v>438</v>
      </c>
      <c r="B378" t="s">
        <v>53</v>
      </c>
      <c r="C378" t="s">
        <v>41</v>
      </c>
      <c r="D378">
        <v>3.6</v>
      </c>
      <c r="E378" t="s">
        <v>54</v>
      </c>
      <c r="F378" t="s">
        <v>25</v>
      </c>
      <c r="G378">
        <v>9500</v>
      </c>
      <c r="H378">
        <v>13</v>
      </c>
      <c r="I378">
        <v>13</v>
      </c>
      <c r="J378">
        <v>7</v>
      </c>
      <c r="K378">
        <v>53.8</v>
      </c>
      <c r="L378" t="s">
        <v>26</v>
      </c>
      <c r="M378" t="s">
        <v>26</v>
      </c>
      <c r="N378" t="s">
        <v>27</v>
      </c>
      <c r="O378" t="s">
        <v>26</v>
      </c>
      <c r="P378" t="s">
        <v>26</v>
      </c>
      <c r="Q378" t="s">
        <v>28</v>
      </c>
      <c r="R378" s="7">
        <v>46150</v>
      </c>
      <c r="S378">
        <v>4.0999999999999996</v>
      </c>
      <c r="T378">
        <v>17</v>
      </c>
      <c r="U378" t="s">
        <v>29</v>
      </c>
    </row>
    <row r="379" spans="1:21" x14ac:dyDescent="0.3">
      <c r="A379" t="s">
        <v>439</v>
      </c>
      <c r="B379" t="s">
        <v>150</v>
      </c>
      <c r="C379" t="s">
        <v>81</v>
      </c>
      <c r="D379">
        <v>3.3</v>
      </c>
      <c r="E379" t="s">
        <v>33</v>
      </c>
      <c r="F379" t="s">
        <v>34</v>
      </c>
      <c r="G379">
        <v>3500</v>
      </c>
      <c r="H379">
        <v>18</v>
      </c>
      <c r="I379">
        <v>54</v>
      </c>
      <c r="J379">
        <v>20</v>
      </c>
      <c r="K379">
        <v>37</v>
      </c>
      <c r="L379" t="s">
        <v>27</v>
      </c>
      <c r="M379" t="s">
        <v>26</v>
      </c>
      <c r="N379" t="s">
        <v>27</v>
      </c>
      <c r="O379" t="s">
        <v>26</v>
      </c>
      <c r="P379" t="s">
        <v>26</v>
      </c>
      <c r="Q379" t="s">
        <v>28</v>
      </c>
      <c r="R379" s="7">
        <v>45978</v>
      </c>
      <c r="S379">
        <v>3.4</v>
      </c>
      <c r="T379">
        <v>18</v>
      </c>
      <c r="U379" t="s">
        <v>29</v>
      </c>
    </row>
    <row r="380" spans="1:21" x14ac:dyDescent="0.3">
      <c r="A380" t="s">
        <v>440</v>
      </c>
      <c r="B380" t="s">
        <v>58</v>
      </c>
      <c r="C380" t="s">
        <v>23</v>
      </c>
      <c r="D380">
        <v>2.2999999999999998</v>
      </c>
      <c r="E380" t="s">
        <v>54</v>
      </c>
      <c r="F380" t="s">
        <v>34</v>
      </c>
      <c r="G380">
        <v>6500</v>
      </c>
      <c r="H380">
        <v>40</v>
      </c>
      <c r="I380">
        <v>40</v>
      </c>
      <c r="J380">
        <v>16</v>
      </c>
      <c r="K380">
        <v>40</v>
      </c>
      <c r="L380" t="s">
        <v>26</v>
      </c>
      <c r="M380" t="s">
        <v>26</v>
      </c>
      <c r="N380" t="s">
        <v>27</v>
      </c>
      <c r="O380" t="s">
        <v>26</v>
      </c>
      <c r="P380" t="s">
        <v>26</v>
      </c>
      <c r="Q380" t="s">
        <v>28</v>
      </c>
      <c r="R380" s="7">
        <v>45951</v>
      </c>
      <c r="S380">
        <v>4.3</v>
      </c>
      <c r="T380">
        <v>8</v>
      </c>
      <c r="U380" t="s">
        <v>29</v>
      </c>
    </row>
    <row r="381" spans="1:21" x14ac:dyDescent="0.3">
      <c r="A381" t="s">
        <v>441</v>
      </c>
      <c r="B381" t="s">
        <v>62</v>
      </c>
      <c r="C381" t="s">
        <v>44</v>
      </c>
      <c r="D381">
        <v>5</v>
      </c>
      <c r="E381" t="s">
        <v>33</v>
      </c>
      <c r="F381" t="s">
        <v>34</v>
      </c>
      <c r="G381">
        <v>5500</v>
      </c>
      <c r="H381">
        <v>19</v>
      </c>
      <c r="I381">
        <v>57</v>
      </c>
      <c r="J381">
        <v>35</v>
      </c>
      <c r="K381">
        <v>61.4</v>
      </c>
      <c r="L381" t="s">
        <v>26</v>
      </c>
      <c r="M381" t="s">
        <v>26</v>
      </c>
      <c r="N381" t="s">
        <v>27</v>
      </c>
      <c r="O381" t="s">
        <v>27</v>
      </c>
      <c r="P381" t="s">
        <v>26</v>
      </c>
      <c r="Q381" t="s">
        <v>28</v>
      </c>
      <c r="R381" s="7">
        <v>45908</v>
      </c>
      <c r="S381">
        <v>4</v>
      </c>
      <c r="T381">
        <v>2</v>
      </c>
      <c r="U381" t="s">
        <v>29</v>
      </c>
    </row>
    <row r="382" spans="1:21" x14ac:dyDescent="0.3">
      <c r="A382" t="s">
        <v>442</v>
      </c>
      <c r="B382" t="s">
        <v>60</v>
      </c>
      <c r="C382" t="s">
        <v>44</v>
      </c>
      <c r="D382">
        <v>6.3</v>
      </c>
      <c r="E382" t="s">
        <v>48</v>
      </c>
      <c r="F382" t="s">
        <v>34</v>
      </c>
      <c r="G382">
        <v>3300</v>
      </c>
      <c r="H382">
        <v>23</v>
      </c>
      <c r="I382">
        <v>92</v>
      </c>
      <c r="J382">
        <v>74</v>
      </c>
      <c r="K382">
        <v>80.400000000000006</v>
      </c>
      <c r="L382" t="s">
        <v>26</v>
      </c>
      <c r="M382" t="s">
        <v>26</v>
      </c>
      <c r="N382" t="s">
        <v>27</v>
      </c>
      <c r="O382" t="s">
        <v>26</v>
      </c>
      <c r="P382" t="s">
        <v>26</v>
      </c>
      <c r="Q382" t="s">
        <v>28</v>
      </c>
      <c r="R382" s="7">
        <v>46117</v>
      </c>
      <c r="S382">
        <v>4</v>
      </c>
      <c r="T382">
        <v>8</v>
      </c>
      <c r="U382" t="s">
        <v>29</v>
      </c>
    </row>
    <row r="383" spans="1:21" x14ac:dyDescent="0.3">
      <c r="A383" t="s">
        <v>443</v>
      </c>
      <c r="B383" t="s">
        <v>85</v>
      </c>
      <c r="C383" t="s">
        <v>32</v>
      </c>
      <c r="D383">
        <v>3.7</v>
      </c>
      <c r="E383" t="s">
        <v>48</v>
      </c>
      <c r="F383" t="s">
        <v>49</v>
      </c>
      <c r="G383">
        <v>4550</v>
      </c>
      <c r="H383">
        <v>42</v>
      </c>
      <c r="I383">
        <v>168</v>
      </c>
      <c r="J383">
        <v>87</v>
      </c>
      <c r="K383">
        <v>51.8</v>
      </c>
      <c r="L383" t="s">
        <v>26</v>
      </c>
      <c r="M383" t="s">
        <v>27</v>
      </c>
      <c r="N383" t="s">
        <v>26</v>
      </c>
      <c r="O383" t="s">
        <v>27</v>
      </c>
      <c r="P383" t="s">
        <v>27</v>
      </c>
      <c r="Q383" t="s">
        <v>65</v>
      </c>
      <c r="R383" s="7">
        <v>46055</v>
      </c>
      <c r="S383">
        <v>3.7</v>
      </c>
      <c r="T383">
        <v>0</v>
      </c>
      <c r="U383" t="s">
        <v>29</v>
      </c>
    </row>
    <row r="384" spans="1:21" x14ac:dyDescent="0.3">
      <c r="A384" t="s">
        <v>444</v>
      </c>
      <c r="B384" t="s">
        <v>85</v>
      </c>
      <c r="C384" t="s">
        <v>32</v>
      </c>
      <c r="D384">
        <v>5.2</v>
      </c>
      <c r="E384" t="s">
        <v>54</v>
      </c>
      <c r="F384" t="s">
        <v>49</v>
      </c>
      <c r="G384">
        <v>6250</v>
      </c>
      <c r="H384">
        <v>42</v>
      </c>
      <c r="I384">
        <v>42</v>
      </c>
      <c r="J384">
        <v>34</v>
      </c>
      <c r="K384">
        <v>81</v>
      </c>
      <c r="L384" t="s">
        <v>26</v>
      </c>
      <c r="M384" t="s">
        <v>26</v>
      </c>
      <c r="N384" t="s">
        <v>26</v>
      </c>
      <c r="O384" t="s">
        <v>27</v>
      </c>
      <c r="P384" t="s">
        <v>26</v>
      </c>
      <c r="Q384" t="s">
        <v>28</v>
      </c>
      <c r="R384" s="7">
        <v>46029</v>
      </c>
      <c r="S384">
        <v>4</v>
      </c>
      <c r="T384">
        <v>3</v>
      </c>
      <c r="U384" t="s">
        <v>29</v>
      </c>
    </row>
    <row r="385" spans="1:21" x14ac:dyDescent="0.3">
      <c r="A385" t="s">
        <v>445</v>
      </c>
      <c r="B385" t="s">
        <v>40</v>
      </c>
      <c r="C385" t="s">
        <v>47</v>
      </c>
      <c r="D385">
        <v>4</v>
      </c>
      <c r="E385" t="s">
        <v>24</v>
      </c>
      <c r="F385" t="s">
        <v>49</v>
      </c>
      <c r="G385">
        <v>6000</v>
      </c>
      <c r="H385">
        <v>43</v>
      </c>
      <c r="I385">
        <v>86</v>
      </c>
      <c r="J385">
        <v>30</v>
      </c>
      <c r="K385">
        <v>34.9</v>
      </c>
      <c r="L385" t="s">
        <v>26</v>
      </c>
      <c r="M385" t="s">
        <v>26</v>
      </c>
      <c r="N385" t="s">
        <v>26</v>
      </c>
      <c r="O385" t="s">
        <v>26</v>
      </c>
      <c r="P385" t="s">
        <v>26</v>
      </c>
      <c r="Q385" t="s">
        <v>35</v>
      </c>
      <c r="R385" s="7">
        <v>45675</v>
      </c>
      <c r="S385">
        <v>4.7</v>
      </c>
      <c r="T385">
        <v>14</v>
      </c>
      <c r="U385" t="s">
        <v>29</v>
      </c>
    </row>
    <row r="386" spans="1:21" x14ac:dyDescent="0.3">
      <c r="A386" t="s">
        <v>446</v>
      </c>
      <c r="B386" t="s">
        <v>40</v>
      </c>
      <c r="C386" t="s">
        <v>41</v>
      </c>
      <c r="D386">
        <v>2</v>
      </c>
      <c r="E386" t="s">
        <v>54</v>
      </c>
      <c r="F386" t="s">
        <v>34</v>
      </c>
      <c r="G386">
        <v>5500</v>
      </c>
      <c r="H386">
        <v>13</v>
      </c>
      <c r="I386">
        <v>13</v>
      </c>
      <c r="J386">
        <v>4</v>
      </c>
      <c r="K386">
        <v>30.8</v>
      </c>
      <c r="L386" t="s">
        <v>26</v>
      </c>
      <c r="M386" t="s">
        <v>27</v>
      </c>
      <c r="N386" t="s">
        <v>26</v>
      </c>
      <c r="O386" t="s">
        <v>26</v>
      </c>
      <c r="P386" t="s">
        <v>26</v>
      </c>
      <c r="Q386" t="s">
        <v>28</v>
      </c>
      <c r="R386" s="7">
        <v>45889</v>
      </c>
      <c r="S386">
        <v>4.0999999999999996</v>
      </c>
      <c r="T386">
        <v>18</v>
      </c>
      <c r="U386" t="s">
        <v>29</v>
      </c>
    </row>
    <row r="387" spans="1:21" x14ac:dyDescent="0.3">
      <c r="A387" t="s">
        <v>447</v>
      </c>
      <c r="B387" t="s">
        <v>70</v>
      </c>
      <c r="C387" t="s">
        <v>41</v>
      </c>
      <c r="D387">
        <v>2.4</v>
      </c>
      <c r="E387" t="s">
        <v>54</v>
      </c>
      <c r="F387" t="s">
        <v>49</v>
      </c>
      <c r="G387">
        <v>10500</v>
      </c>
      <c r="H387">
        <v>37</v>
      </c>
      <c r="I387">
        <v>37</v>
      </c>
      <c r="J387">
        <v>20</v>
      </c>
      <c r="K387">
        <v>54.1</v>
      </c>
      <c r="L387" t="s">
        <v>26</v>
      </c>
      <c r="M387" t="s">
        <v>26</v>
      </c>
      <c r="N387" t="s">
        <v>26</v>
      </c>
      <c r="O387" t="s">
        <v>26</v>
      </c>
      <c r="P387" t="s">
        <v>26</v>
      </c>
      <c r="Q387" t="s">
        <v>35</v>
      </c>
      <c r="R387" s="7">
        <v>46104</v>
      </c>
      <c r="S387">
        <v>3.7</v>
      </c>
      <c r="T387">
        <v>1</v>
      </c>
      <c r="U387" t="s">
        <v>29</v>
      </c>
    </row>
    <row r="388" spans="1:21" x14ac:dyDescent="0.3">
      <c r="A388" t="s">
        <v>448</v>
      </c>
      <c r="B388" t="s">
        <v>37</v>
      </c>
      <c r="C388" t="s">
        <v>81</v>
      </c>
      <c r="D388">
        <v>7.5</v>
      </c>
      <c r="E388" t="s">
        <v>33</v>
      </c>
      <c r="F388" t="s">
        <v>49</v>
      </c>
      <c r="G388">
        <v>3500</v>
      </c>
      <c r="H388">
        <v>19</v>
      </c>
      <c r="I388">
        <v>57</v>
      </c>
      <c r="J388">
        <v>47</v>
      </c>
      <c r="K388">
        <v>82.5</v>
      </c>
      <c r="L388" t="s">
        <v>27</v>
      </c>
      <c r="M388" t="s">
        <v>26</v>
      </c>
      <c r="N388" t="s">
        <v>27</v>
      </c>
      <c r="O388" t="s">
        <v>27</v>
      </c>
      <c r="P388" t="s">
        <v>26</v>
      </c>
      <c r="Q388" t="s">
        <v>65</v>
      </c>
      <c r="R388" s="7">
        <v>45738</v>
      </c>
      <c r="S388">
        <v>4.5</v>
      </c>
      <c r="T388">
        <v>15</v>
      </c>
      <c r="U388" t="s">
        <v>29</v>
      </c>
    </row>
    <row r="389" spans="1:21" x14ac:dyDescent="0.3">
      <c r="A389" t="s">
        <v>449</v>
      </c>
      <c r="B389" t="s">
        <v>31</v>
      </c>
      <c r="C389" t="s">
        <v>38</v>
      </c>
      <c r="D389">
        <v>6.9</v>
      </c>
      <c r="E389" t="s">
        <v>33</v>
      </c>
      <c r="F389" t="s">
        <v>34</v>
      </c>
      <c r="G389">
        <v>2750</v>
      </c>
      <c r="H389">
        <v>10</v>
      </c>
      <c r="I389">
        <v>30</v>
      </c>
      <c r="J389">
        <v>12</v>
      </c>
      <c r="K389">
        <v>40</v>
      </c>
      <c r="L389" t="s">
        <v>27</v>
      </c>
      <c r="M389" t="s">
        <v>26</v>
      </c>
      <c r="N389" t="s">
        <v>26</v>
      </c>
      <c r="O389" t="s">
        <v>26</v>
      </c>
      <c r="P389" t="s">
        <v>27</v>
      </c>
      <c r="Q389" t="s">
        <v>28</v>
      </c>
      <c r="R389" s="7">
        <v>45739</v>
      </c>
      <c r="S389">
        <v>4.4000000000000004</v>
      </c>
      <c r="T389">
        <v>0</v>
      </c>
      <c r="U389" t="s">
        <v>29</v>
      </c>
    </row>
    <row r="390" spans="1:21" x14ac:dyDescent="0.3">
      <c r="A390" t="s">
        <v>450</v>
      </c>
      <c r="B390" t="s">
        <v>37</v>
      </c>
      <c r="C390" t="s">
        <v>41</v>
      </c>
      <c r="D390">
        <v>1.3</v>
      </c>
      <c r="E390" t="s">
        <v>33</v>
      </c>
      <c r="F390" t="s">
        <v>25</v>
      </c>
      <c r="G390">
        <v>4000</v>
      </c>
      <c r="H390">
        <v>44</v>
      </c>
      <c r="I390">
        <v>132</v>
      </c>
      <c r="J390">
        <v>46</v>
      </c>
      <c r="K390">
        <v>34.799999999999997</v>
      </c>
      <c r="L390" t="s">
        <v>27</v>
      </c>
      <c r="M390" t="s">
        <v>26</v>
      </c>
      <c r="N390" t="s">
        <v>26</v>
      </c>
      <c r="O390" t="s">
        <v>27</v>
      </c>
      <c r="P390" t="s">
        <v>27</v>
      </c>
      <c r="Q390" t="s">
        <v>65</v>
      </c>
      <c r="R390" s="7">
        <v>46194</v>
      </c>
      <c r="S390">
        <v>4.0999999999999996</v>
      </c>
      <c r="T390">
        <v>17</v>
      </c>
      <c r="U390" t="s">
        <v>29</v>
      </c>
    </row>
    <row r="391" spans="1:21" x14ac:dyDescent="0.3">
      <c r="A391" t="s">
        <v>451</v>
      </c>
      <c r="B391" t="s">
        <v>150</v>
      </c>
      <c r="C391" t="s">
        <v>38</v>
      </c>
      <c r="D391">
        <v>4.3</v>
      </c>
      <c r="E391" t="s">
        <v>33</v>
      </c>
      <c r="F391" t="s">
        <v>49</v>
      </c>
      <c r="G391">
        <v>3750</v>
      </c>
      <c r="H391">
        <v>27</v>
      </c>
      <c r="I391">
        <v>81</v>
      </c>
      <c r="J391">
        <v>53</v>
      </c>
      <c r="K391">
        <v>65.400000000000006</v>
      </c>
      <c r="L391" t="s">
        <v>26</v>
      </c>
      <c r="M391" t="s">
        <v>26</v>
      </c>
      <c r="N391" t="s">
        <v>27</v>
      </c>
      <c r="O391" t="s">
        <v>26</v>
      </c>
      <c r="P391" t="s">
        <v>26</v>
      </c>
      <c r="Q391" t="s">
        <v>28</v>
      </c>
      <c r="R391" s="7">
        <v>45723</v>
      </c>
      <c r="S391">
        <v>4.5</v>
      </c>
      <c r="T391">
        <v>14</v>
      </c>
      <c r="U391" t="s">
        <v>29</v>
      </c>
    </row>
    <row r="392" spans="1:21" x14ac:dyDescent="0.3">
      <c r="A392" t="s">
        <v>452</v>
      </c>
      <c r="B392" t="s">
        <v>31</v>
      </c>
      <c r="C392" t="s">
        <v>44</v>
      </c>
      <c r="D392">
        <v>4.2</v>
      </c>
      <c r="E392" t="s">
        <v>48</v>
      </c>
      <c r="F392" t="s">
        <v>25</v>
      </c>
      <c r="G392">
        <v>4300</v>
      </c>
      <c r="H392">
        <v>20</v>
      </c>
      <c r="I392">
        <v>80</v>
      </c>
      <c r="J392">
        <v>47</v>
      </c>
      <c r="K392">
        <v>58.8</v>
      </c>
      <c r="L392" t="s">
        <v>26</v>
      </c>
      <c r="M392" t="s">
        <v>27</v>
      </c>
      <c r="N392" t="s">
        <v>26</v>
      </c>
      <c r="O392" t="s">
        <v>26</v>
      </c>
      <c r="P392" t="s">
        <v>26</v>
      </c>
      <c r="Q392" t="s">
        <v>28</v>
      </c>
      <c r="R392" s="7">
        <v>46066</v>
      </c>
      <c r="S392">
        <v>4.2</v>
      </c>
      <c r="T392">
        <v>6</v>
      </c>
      <c r="U392" t="s">
        <v>29</v>
      </c>
    </row>
    <row r="393" spans="1:21" x14ac:dyDescent="0.3">
      <c r="A393" t="s">
        <v>453</v>
      </c>
      <c r="B393" t="s">
        <v>62</v>
      </c>
      <c r="C393" t="s">
        <v>47</v>
      </c>
      <c r="D393">
        <v>3.8</v>
      </c>
      <c r="E393" t="s">
        <v>54</v>
      </c>
      <c r="F393" t="s">
        <v>49</v>
      </c>
      <c r="G393">
        <v>11750</v>
      </c>
      <c r="H393">
        <v>42</v>
      </c>
      <c r="I393">
        <v>42</v>
      </c>
      <c r="J393">
        <v>34</v>
      </c>
      <c r="K393">
        <v>81</v>
      </c>
      <c r="L393" t="s">
        <v>26</v>
      </c>
      <c r="M393" t="s">
        <v>26</v>
      </c>
      <c r="N393" t="s">
        <v>26</v>
      </c>
      <c r="O393" t="s">
        <v>27</v>
      </c>
      <c r="P393" t="s">
        <v>27</v>
      </c>
      <c r="Q393" t="s">
        <v>28</v>
      </c>
      <c r="R393" s="7">
        <v>45982</v>
      </c>
      <c r="S393">
        <v>4.3</v>
      </c>
      <c r="T393">
        <v>1</v>
      </c>
      <c r="U393" t="s">
        <v>29</v>
      </c>
    </row>
    <row r="394" spans="1:21" x14ac:dyDescent="0.3">
      <c r="A394" t="s">
        <v>454</v>
      </c>
      <c r="B394" t="s">
        <v>67</v>
      </c>
      <c r="C394" t="s">
        <v>32</v>
      </c>
      <c r="D394">
        <v>1.1000000000000001</v>
      </c>
      <c r="E394" t="s">
        <v>48</v>
      </c>
      <c r="F394" t="s">
        <v>34</v>
      </c>
      <c r="G394">
        <v>4300</v>
      </c>
      <c r="H394">
        <v>42</v>
      </c>
      <c r="I394">
        <v>168</v>
      </c>
      <c r="J394">
        <v>77</v>
      </c>
      <c r="K394">
        <v>45.8</v>
      </c>
      <c r="L394" t="s">
        <v>26</v>
      </c>
      <c r="M394" t="s">
        <v>27</v>
      </c>
      <c r="N394" t="s">
        <v>27</v>
      </c>
      <c r="O394" t="s">
        <v>26</v>
      </c>
      <c r="P394" t="s">
        <v>26</v>
      </c>
      <c r="Q394" t="s">
        <v>28</v>
      </c>
      <c r="R394" s="7">
        <v>45905</v>
      </c>
      <c r="S394">
        <v>2.8</v>
      </c>
      <c r="T394">
        <v>0</v>
      </c>
      <c r="U394" t="s">
        <v>29</v>
      </c>
    </row>
    <row r="395" spans="1:21" x14ac:dyDescent="0.3">
      <c r="A395" t="s">
        <v>455</v>
      </c>
      <c r="B395" t="s">
        <v>40</v>
      </c>
      <c r="C395" t="s">
        <v>44</v>
      </c>
      <c r="D395">
        <v>0.3</v>
      </c>
      <c r="E395" t="s">
        <v>54</v>
      </c>
      <c r="F395" t="s">
        <v>34</v>
      </c>
      <c r="G395">
        <v>7750</v>
      </c>
      <c r="H395">
        <v>14</v>
      </c>
      <c r="I395">
        <v>14</v>
      </c>
      <c r="J395">
        <v>11</v>
      </c>
      <c r="K395">
        <v>78.599999999999994</v>
      </c>
      <c r="L395" t="s">
        <v>27</v>
      </c>
      <c r="M395" t="s">
        <v>26</v>
      </c>
      <c r="N395" t="s">
        <v>26</v>
      </c>
      <c r="O395" t="s">
        <v>26</v>
      </c>
      <c r="P395" t="s">
        <v>26</v>
      </c>
      <c r="Q395" t="s">
        <v>28</v>
      </c>
      <c r="R395" s="7">
        <v>45841</v>
      </c>
      <c r="S395">
        <v>4.2</v>
      </c>
      <c r="T395">
        <v>2</v>
      </c>
      <c r="U395" t="s">
        <v>29</v>
      </c>
    </row>
    <row r="396" spans="1:21" x14ac:dyDescent="0.3">
      <c r="A396" t="s">
        <v>456</v>
      </c>
      <c r="B396" t="s">
        <v>83</v>
      </c>
      <c r="C396" t="s">
        <v>81</v>
      </c>
      <c r="D396">
        <v>6.1</v>
      </c>
      <c r="E396" t="s">
        <v>48</v>
      </c>
      <c r="F396" t="s">
        <v>49</v>
      </c>
      <c r="G396">
        <v>3050</v>
      </c>
      <c r="H396">
        <v>15</v>
      </c>
      <c r="I396">
        <v>60</v>
      </c>
      <c r="J396">
        <v>57</v>
      </c>
      <c r="K396">
        <v>95</v>
      </c>
      <c r="L396" t="s">
        <v>26</v>
      </c>
      <c r="M396" t="s">
        <v>26</v>
      </c>
      <c r="N396" t="s">
        <v>26</v>
      </c>
      <c r="O396" t="s">
        <v>26</v>
      </c>
      <c r="P396" t="s">
        <v>26</v>
      </c>
      <c r="Q396" t="s">
        <v>35</v>
      </c>
      <c r="R396" s="7">
        <v>46225</v>
      </c>
      <c r="S396">
        <v>4.4000000000000004</v>
      </c>
      <c r="T396">
        <v>10</v>
      </c>
      <c r="U396" t="s">
        <v>29</v>
      </c>
    </row>
    <row r="397" spans="1:21" x14ac:dyDescent="0.3">
      <c r="A397" t="s">
        <v>457</v>
      </c>
      <c r="B397" t="s">
        <v>70</v>
      </c>
      <c r="C397" t="s">
        <v>81</v>
      </c>
      <c r="D397">
        <v>4.2</v>
      </c>
      <c r="E397" t="s">
        <v>48</v>
      </c>
      <c r="F397" t="s">
        <v>34</v>
      </c>
      <c r="G397">
        <v>2550</v>
      </c>
      <c r="H397">
        <v>45</v>
      </c>
      <c r="I397">
        <v>180</v>
      </c>
      <c r="J397">
        <v>67</v>
      </c>
      <c r="K397">
        <v>37.200000000000003</v>
      </c>
      <c r="L397" t="s">
        <v>26</v>
      </c>
      <c r="M397" t="s">
        <v>27</v>
      </c>
      <c r="N397" t="s">
        <v>26</v>
      </c>
      <c r="O397" t="s">
        <v>26</v>
      </c>
      <c r="P397" t="s">
        <v>27</v>
      </c>
      <c r="Q397" t="s">
        <v>28</v>
      </c>
      <c r="R397" s="7">
        <v>45803</v>
      </c>
      <c r="S397">
        <v>4.2</v>
      </c>
      <c r="T397">
        <v>2</v>
      </c>
      <c r="U397" t="s">
        <v>29</v>
      </c>
    </row>
    <row r="398" spans="1:21" x14ac:dyDescent="0.3">
      <c r="A398" t="s">
        <v>458</v>
      </c>
      <c r="B398" t="s">
        <v>56</v>
      </c>
      <c r="C398" t="s">
        <v>44</v>
      </c>
      <c r="D398">
        <v>7</v>
      </c>
      <c r="E398" t="s">
        <v>33</v>
      </c>
      <c r="F398" t="s">
        <v>34</v>
      </c>
      <c r="G398">
        <v>4000</v>
      </c>
      <c r="H398">
        <v>38</v>
      </c>
      <c r="I398">
        <v>114</v>
      </c>
      <c r="J398">
        <v>55</v>
      </c>
      <c r="K398">
        <v>48.2</v>
      </c>
      <c r="L398" t="s">
        <v>27</v>
      </c>
      <c r="M398" t="s">
        <v>27</v>
      </c>
      <c r="N398" t="s">
        <v>27</v>
      </c>
      <c r="O398" t="s">
        <v>26</v>
      </c>
      <c r="P398" t="s">
        <v>26</v>
      </c>
      <c r="Q398" t="s">
        <v>65</v>
      </c>
      <c r="R398" s="7">
        <v>45878</v>
      </c>
      <c r="S398">
        <v>4.7</v>
      </c>
      <c r="T398">
        <v>7</v>
      </c>
      <c r="U398" t="s">
        <v>29</v>
      </c>
    </row>
    <row r="399" spans="1:21" x14ac:dyDescent="0.3">
      <c r="A399" t="s">
        <v>459</v>
      </c>
      <c r="B399" t="s">
        <v>60</v>
      </c>
      <c r="C399" t="s">
        <v>44</v>
      </c>
      <c r="D399">
        <v>5.4</v>
      </c>
      <c r="E399" t="s">
        <v>54</v>
      </c>
      <c r="F399" t="s">
        <v>25</v>
      </c>
      <c r="G399">
        <v>10500</v>
      </c>
      <c r="H399">
        <v>27</v>
      </c>
      <c r="I399">
        <v>27</v>
      </c>
      <c r="J399">
        <v>20</v>
      </c>
      <c r="K399">
        <v>74.099999999999994</v>
      </c>
      <c r="L399" t="s">
        <v>26</v>
      </c>
      <c r="M399" t="s">
        <v>26</v>
      </c>
      <c r="N399" t="s">
        <v>26</v>
      </c>
      <c r="O399" t="s">
        <v>26</v>
      </c>
      <c r="P399" t="s">
        <v>26</v>
      </c>
      <c r="Q399" t="s">
        <v>35</v>
      </c>
      <c r="R399" s="7">
        <v>46095</v>
      </c>
      <c r="S399">
        <v>3.7</v>
      </c>
      <c r="T399">
        <v>11</v>
      </c>
      <c r="U399" t="s">
        <v>29</v>
      </c>
    </row>
    <row r="400" spans="1:21" x14ac:dyDescent="0.3">
      <c r="A400" t="s">
        <v>460</v>
      </c>
      <c r="B400" t="s">
        <v>53</v>
      </c>
      <c r="C400" t="s">
        <v>47</v>
      </c>
      <c r="D400">
        <v>3.6</v>
      </c>
      <c r="E400" t="s">
        <v>24</v>
      </c>
      <c r="F400" t="s">
        <v>34</v>
      </c>
      <c r="G400">
        <v>5500</v>
      </c>
      <c r="H400">
        <v>11</v>
      </c>
      <c r="I400">
        <v>22</v>
      </c>
      <c r="J400">
        <v>13</v>
      </c>
      <c r="K400">
        <v>59.1</v>
      </c>
      <c r="L400" t="s">
        <v>26</v>
      </c>
      <c r="M400" t="s">
        <v>26</v>
      </c>
      <c r="N400" t="s">
        <v>26</v>
      </c>
      <c r="O400" t="s">
        <v>26</v>
      </c>
      <c r="P400" t="s">
        <v>27</v>
      </c>
      <c r="Q400" t="s">
        <v>28</v>
      </c>
      <c r="R400" s="7">
        <v>45782</v>
      </c>
      <c r="S400">
        <v>4.5</v>
      </c>
      <c r="T400">
        <v>1</v>
      </c>
      <c r="U400" t="s">
        <v>29</v>
      </c>
    </row>
    <row r="401" spans="1:21" x14ac:dyDescent="0.3">
      <c r="A401" t="s">
        <v>461</v>
      </c>
      <c r="B401" t="s">
        <v>83</v>
      </c>
      <c r="C401" t="s">
        <v>41</v>
      </c>
      <c r="D401">
        <v>2.6</v>
      </c>
      <c r="E401" t="s">
        <v>48</v>
      </c>
      <c r="F401" t="s">
        <v>34</v>
      </c>
      <c r="G401">
        <v>1800</v>
      </c>
      <c r="H401">
        <v>14</v>
      </c>
      <c r="I401">
        <v>56</v>
      </c>
      <c r="J401">
        <v>22</v>
      </c>
      <c r="K401">
        <v>39.299999999999997</v>
      </c>
      <c r="L401" t="s">
        <v>27</v>
      </c>
      <c r="M401" t="s">
        <v>26</v>
      </c>
      <c r="N401" t="s">
        <v>26</v>
      </c>
      <c r="O401" t="s">
        <v>26</v>
      </c>
      <c r="P401" t="s">
        <v>26</v>
      </c>
      <c r="Q401" t="s">
        <v>28</v>
      </c>
      <c r="R401" s="7">
        <v>46217</v>
      </c>
      <c r="S401">
        <v>4.2</v>
      </c>
      <c r="T401">
        <v>2</v>
      </c>
      <c r="U401" t="s">
        <v>29</v>
      </c>
    </row>
    <row r="402" spans="1:21" x14ac:dyDescent="0.3">
      <c r="A402" t="s">
        <v>462</v>
      </c>
      <c r="B402" t="s">
        <v>85</v>
      </c>
      <c r="C402" t="s">
        <v>81</v>
      </c>
      <c r="D402">
        <v>3.3</v>
      </c>
      <c r="E402" t="s">
        <v>33</v>
      </c>
      <c r="F402" t="s">
        <v>25</v>
      </c>
      <c r="G402">
        <v>3250</v>
      </c>
      <c r="H402">
        <v>15</v>
      </c>
      <c r="I402">
        <v>45</v>
      </c>
      <c r="J402">
        <v>25</v>
      </c>
      <c r="K402">
        <v>55.6</v>
      </c>
      <c r="L402" t="s">
        <v>27</v>
      </c>
      <c r="M402" t="s">
        <v>26</v>
      </c>
      <c r="N402" t="s">
        <v>27</v>
      </c>
      <c r="O402" t="s">
        <v>26</v>
      </c>
      <c r="P402" t="s">
        <v>26</v>
      </c>
      <c r="Q402" t="s">
        <v>28</v>
      </c>
      <c r="R402" s="7">
        <v>45900</v>
      </c>
      <c r="S402">
        <v>4.2</v>
      </c>
      <c r="T402">
        <v>12</v>
      </c>
      <c r="U402" t="s">
        <v>29</v>
      </c>
    </row>
    <row r="403" spans="1:21" x14ac:dyDescent="0.3">
      <c r="A403" t="s">
        <v>463</v>
      </c>
      <c r="B403" t="s">
        <v>150</v>
      </c>
      <c r="C403" t="s">
        <v>23</v>
      </c>
      <c r="D403">
        <v>6.7</v>
      </c>
      <c r="E403" t="s">
        <v>24</v>
      </c>
      <c r="F403" t="s">
        <v>34</v>
      </c>
      <c r="G403">
        <v>5000</v>
      </c>
      <c r="H403">
        <v>37</v>
      </c>
      <c r="I403">
        <v>74</v>
      </c>
      <c r="J403">
        <v>36</v>
      </c>
      <c r="K403">
        <v>48.6</v>
      </c>
      <c r="L403" t="s">
        <v>26</v>
      </c>
      <c r="M403" t="s">
        <v>26</v>
      </c>
      <c r="N403" t="s">
        <v>26</v>
      </c>
      <c r="O403" t="s">
        <v>26</v>
      </c>
      <c r="P403" t="s">
        <v>26</v>
      </c>
      <c r="Q403" t="s">
        <v>35</v>
      </c>
      <c r="R403" s="7">
        <v>46063</v>
      </c>
      <c r="S403">
        <v>3.9</v>
      </c>
      <c r="T403">
        <v>8</v>
      </c>
      <c r="U403" t="s">
        <v>29</v>
      </c>
    </row>
    <row r="404" spans="1:21" x14ac:dyDescent="0.3">
      <c r="A404" t="s">
        <v>464</v>
      </c>
      <c r="B404" t="s">
        <v>46</v>
      </c>
      <c r="C404" t="s">
        <v>44</v>
      </c>
      <c r="D404">
        <v>0.4</v>
      </c>
      <c r="E404" t="s">
        <v>54</v>
      </c>
      <c r="F404" t="s">
        <v>25</v>
      </c>
      <c r="G404">
        <v>7500</v>
      </c>
      <c r="H404">
        <v>16</v>
      </c>
      <c r="I404">
        <v>16</v>
      </c>
      <c r="J404">
        <v>6</v>
      </c>
      <c r="K404">
        <v>37.5</v>
      </c>
      <c r="L404" t="s">
        <v>26</v>
      </c>
      <c r="M404" t="s">
        <v>26</v>
      </c>
      <c r="N404" t="s">
        <v>26</v>
      </c>
      <c r="O404" t="s">
        <v>27</v>
      </c>
      <c r="P404" t="s">
        <v>27</v>
      </c>
      <c r="Q404" t="s">
        <v>28</v>
      </c>
      <c r="R404" s="7">
        <v>46143</v>
      </c>
      <c r="S404">
        <v>3.2</v>
      </c>
      <c r="T404">
        <v>9</v>
      </c>
      <c r="U404" t="s">
        <v>29</v>
      </c>
    </row>
    <row r="405" spans="1:21" x14ac:dyDescent="0.3">
      <c r="A405" t="s">
        <v>465</v>
      </c>
      <c r="B405" t="s">
        <v>60</v>
      </c>
      <c r="C405" t="s">
        <v>44</v>
      </c>
      <c r="D405">
        <v>4.4000000000000004</v>
      </c>
      <c r="E405" t="s">
        <v>24</v>
      </c>
      <c r="F405" t="s">
        <v>25</v>
      </c>
      <c r="G405">
        <v>4000</v>
      </c>
      <c r="H405">
        <v>34</v>
      </c>
      <c r="I405">
        <v>68</v>
      </c>
      <c r="J405">
        <v>56</v>
      </c>
      <c r="K405">
        <v>82.4</v>
      </c>
      <c r="L405" t="s">
        <v>26</v>
      </c>
      <c r="M405" t="s">
        <v>26</v>
      </c>
      <c r="N405" t="s">
        <v>26</v>
      </c>
      <c r="O405" t="s">
        <v>26</v>
      </c>
      <c r="P405" t="s">
        <v>27</v>
      </c>
      <c r="Q405" t="s">
        <v>28</v>
      </c>
      <c r="R405" s="7">
        <v>46167</v>
      </c>
      <c r="S405">
        <v>3.4</v>
      </c>
      <c r="T405">
        <v>13</v>
      </c>
      <c r="U405" t="s">
        <v>29</v>
      </c>
    </row>
    <row r="406" spans="1:21" x14ac:dyDescent="0.3">
      <c r="A406" t="s">
        <v>466</v>
      </c>
      <c r="B406" t="s">
        <v>40</v>
      </c>
      <c r="C406" t="s">
        <v>47</v>
      </c>
      <c r="D406">
        <v>2.6</v>
      </c>
      <c r="E406" t="s">
        <v>24</v>
      </c>
      <c r="F406" t="s">
        <v>25</v>
      </c>
      <c r="G406">
        <v>4500</v>
      </c>
      <c r="H406">
        <v>44</v>
      </c>
      <c r="I406">
        <v>88</v>
      </c>
      <c r="J406">
        <v>87</v>
      </c>
      <c r="K406">
        <v>98.9</v>
      </c>
      <c r="L406" t="s">
        <v>27</v>
      </c>
      <c r="M406" t="s">
        <v>26</v>
      </c>
      <c r="N406" t="s">
        <v>26</v>
      </c>
      <c r="O406" t="s">
        <v>27</v>
      </c>
      <c r="P406" t="s">
        <v>26</v>
      </c>
      <c r="Q406" t="s">
        <v>28</v>
      </c>
      <c r="R406" s="7">
        <v>45672</v>
      </c>
      <c r="S406">
        <v>3.4</v>
      </c>
      <c r="T406">
        <v>13</v>
      </c>
      <c r="U406" t="s">
        <v>29</v>
      </c>
    </row>
    <row r="407" spans="1:21" x14ac:dyDescent="0.3">
      <c r="A407" t="s">
        <v>467</v>
      </c>
      <c r="B407" t="s">
        <v>22</v>
      </c>
      <c r="C407" t="s">
        <v>64</v>
      </c>
      <c r="D407">
        <v>3.8</v>
      </c>
      <c r="E407" t="s">
        <v>54</v>
      </c>
      <c r="F407" t="s">
        <v>34</v>
      </c>
      <c r="G407">
        <v>9750</v>
      </c>
      <c r="H407">
        <v>8</v>
      </c>
      <c r="I407">
        <v>8</v>
      </c>
      <c r="J407">
        <v>7</v>
      </c>
      <c r="K407">
        <v>87.5</v>
      </c>
      <c r="L407" t="s">
        <v>26</v>
      </c>
      <c r="M407" t="s">
        <v>26</v>
      </c>
      <c r="N407" t="s">
        <v>26</v>
      </c>
      <c r="O407" t="s">
        <v>26</v>
      </c>
      <c r="P407" t="s">
        <v>26</v>
      </c>
      <c r="Q407" t="s">
        <v>35</v>
      </c>
      <c r="R407" s="7">
        <v>46083</v>
      </c>
      <c r="S407">
        <v>3.9</v>
      </c>
      <c r="T407">
        <v>2</v>
      </c>
      <c r="U407" t="s">
        <v>29</v>
      </c>
    </row>
    <row r="408" spans="1:21" x14ac:dyDescent="0.3">
      <c r="A408" t="s">
        <v>468</v>
      </c>
      <c r="B408" t="s">
        <v>150</v>
      </c>
      <c r="C408" t="s">
        <v>41</v>
      </c>
      <c r="D408">
        <v>1.4</v>
      </c>
      <c r="E408" t="s">
        <v>48</v>
      </c>
      <c r="F408" t="s">
        <v>34</v>
      </c>
      <c r="G408">
        <v>4050</v>
      </c>
      <c r="H408">
        <v>45</v>
      </c>
      <c r="I408">
        <v>180</v>
      </c>
      <c r="J408">
        <v>65</v>
      </c>
      <c r="K408">
        <v>36.1</v>
      </c>
      <c r="L408" t="s">
        <v>27</v>
      </c>
      <c r="M408" t="s">
        <v>26</v>
      </c>
      <c r="N408" t="s">
        <v>27</v>
      </c>
      <c r="O408" t="s">
        <v>27</v>
      </c>
      <c r="P408" t="s">
        <v>26</v>
      </c>
      <c r="Q408" t="s">
        <v>65</v>
      </c>
      <c r="R408" s="7">
        <v>46132</v>
      </c>
      <c r="S408">
        <v>3.4</v>
      </c>
      <c r="T408">
        <v>11</v>
      </c>
      <c r="U408" t="s">
        <v>29</v>
      </c>
    </row>
    <row r="409" spans="1:21" x14ac:dyDescent="0.3">
      <c r="A409" t="s">
        <v>469</v>
      </c>
      <c r="B409" t="s">
        <v>43</v>
      </c>
      <c r="C409" t="s">
        <v>32</v>
      </c>
      <c r="D409">
        <v>6.7</v>
      </c>
      <c r="E409" t="s">
        <v>33</v>
      </c>
      <c r="F409" t="s">
        <v>25</v>
      </c>
      <c r="G409">
        <v>4500</v>
      </c>
      <c r="H409">
        <v>10</v>
      </c>
      <c r="I409">
        <v>30</v>
      </c>
      <c r="J409">
        <v>19</v>
      </c>
      <c r="K409">
        <v>63.3</v>
      </c>
      <c r="L409" t="s">
        <v>26</v>
      </c>
      <c r="M409" t="s">
        <v>26</v>
      </c>
      <c r="N409" t="s">
        <v>27</v>
      </c>
      <c r="O409" t="s">
        <v>26</v>
      </c>
      <c r="P409" t="s">
        <v>26</v>
      </c>
      <c r="Q409" t="s">
        <v>28</v>
      </c>
      <c r="R409" s="7">
        <v>46103</v>
      </c>
      <c r="S409">
        <v>3.4</v>
      </c>
      <c r="T409">
        <v>1</v>
      </c>
      <c r="U409" t="s">
        <v>29</v>
      </c>
    </row>
    <row r="410" spans="1:21" x14ac:dyDescent="0.3">
      <c r="A410" t="s">
        <v>470</v>
      </c>
      <c r="B410" t="s">
        <v>51</v>
      </c>
      <c r="C410" t="s">
        <v>23</v>
      </c>
      <c r="D410">
        <v>1</v>
      </c>
      <c r="E410" t="s">
        <v>33</v>
      </c>
      <c r="F410" t="s">
        <v>49</v>
      </c>
      <c r="G410">
        <v>4250</v>
      </c>
      <c r="H410">
        <v>10</v>
      </c>
      <c r="I410">
        <v>30</v>
      </c>
      <c r="J410">
        <v>21</v>
      </c>
      <c r="K410">
        <v>70</v>
      </c>
      <c r="L410" t="s">
        <v>26</v>
      </c>
      <c r="M410" t="s">
        <v>26</v>
      </c>
      <c r="N410" t="s">
        <v>27</v>
      </c>
      <c r="O410" t="s">
        <v>26</v>
      </c>
      <c r="P410" t="s">
        <v>26</v>
      </c>
      <c r="Q410" t="s">
        <v>28</v>
      </c>
      <c r="R410" s="7">
        <v>46042</v>
      </c>
      <c r="S410">
        <v>4</v>
      </c>
      <c r="T410">
        <v>10</v>
      </c>
      <c r="U410" t="s">
        <v>29</v>
      </c>
    </row>
    <row r="411" spans="1:21" x14ac:dyDescent="0.3">
      <c r="A411" t="s">
        <v>471</v>
      </c>
      <c r="B411" t="s">
        <v>62</v>
      </c>
      <c r="C411" t="s">
        <v>47</v>
      </c>
      <c r="D411">
        <v>5.7</v>
      </c>
      <c r="E411" t="s">
        <v>24</v>
      </c>
      <c r="F411" t="s">
        <v>49</v>
      </c>
      <c r="G411">
        <v>6000</v>
      </c>
      <c r="H411">
        <v>30</v>
      </c>
      <c r="I411">
        <v>60</v>
      </c>
      <c r="J411">
        <v>38</v>
      </c>
      <c r="K411">
        <v>63.3</v>
      </c>
      <c r="L411" t="s">
        <v>26</v>
      </c>
      <c r="M411" t="s">
        <v>26</v>
      </c>
      <c r="N411" t="s">
        <v>26</v>
      </c>
      <c r="O411" t="s">
        <v>27</v>
      </c>
      <c r="P411" t="s">
        <v>26</v>
      </c>
      <c r="Q411" t="s">
        <v>28</v>
      </c>
      <c r="R411" s="7">
        <v>46182</v>
      </c>
      <c r="S411">
        <v>4.3</v>
      </c>
      <c r="T411">
        <v>11</v>
      </c>
      <c r="U411" t="s">
        <v>29</v>
      </c>
    </row>
    <row r="412" spans="1:21" x14ac:dyDescent="0.3">
      <c r="A412" t="s">
        <v>472</v>
      </c>
      <c r="B412" t="s">
        <v>150</v>
      </c>
      <c r="C412" t="s">
        <v>38</v>
      </c>
      <c r="D412">
        <v>3.6</v>
      </c>
      <c r="E412" t="s">
        <v>33</v>
      </c>
      <c r="F412" t="s">
        <v>34</v>
      </c>
      <c r="G412">
        <v>4250</v>
      </c>
      <c r="H412">
        <v>31</v>
      </c>
      <c r="I412">
        <v>93</v>
      </c>
      <c r="J412">
        <v>83</v>
      </c>
      <c r="K412">
        <v>89.2</v>
      </c>
      <c r="L412" t="s">
        <v>26</v>
      </c>
      <c r="M412" t="s">
        <v>27</v>
      </c>
      <c r="N412" t="s">
        <v>26</v>
      </c>
      <c r="O412" t="s">
        <v>26</v>
      </c>
      <c r="P412" t="s">
        <v>27</v>
      </c>
      <c r="Q412" t="s">
        <v>28</v>
      </c>
      <c r="R412" s="7">
        <v>45734</v>
      </c>
      <c r="S412">
        <v>3.7</v>
      </c>
      <c r="T412">
        <v>5</v>
      </c>
      <c r="U412" t="s">
        <v>29</v>
      </c>
    </row>
    <row r="413" spans="1:21" x14ac:dyDescent="0.3">
      <c r="A413" t="s">
        <v>473</v>
      </c>
      <c r="B413" t="s">
        <v>70</v>
      </c>
      <c r="C413" t="s">
        <v>41</v>
      </c>
      <c r="D413">
        <v>1</v>
      </c>
      <c r="E413" t="s">
        <v>24</v>
      </c>
      <c r="F413" t="s">
        <v>49</v>
      </c>
      <c r="G413">
        <v>7250</v>
      </c>
      <c r="H413">
        <v>17</v>
      </c>
      <c r="I413">
        <v>34</v>
      </c>
      <c r="J413">
        <v>17</v>
      </c>
      <c r="K413">
        <v>50</v>
      </c>
      <c r="L413" t="s">
        <v>26</v>
      </c>
      <c r="M413" t="s">
        <v>27</v>
      </c>
      <c r="N413" t="s">
        <v>26</v>
      </c>
      <c r="O413" t="s">
        <v>26</v>
      </c>
      <c r="P413" t="s">
        <v>26</v>
      </c>
      <c r="Q413" t="s">
        <v>28</v>
      </c>
      <c r="R413" s="7">
        <v>46200</v>
      </c>
      <c r="S413">
        <v>5</v>
      </c>
      <c r="T413">
        <v>11</v>
      </c>
      <c r="U413" t="s">
        <v>29</v>
      </c>
    </row>
    <row r="414" spans="1:21" x14ac:dyDescent="0.3">
      <c r="A414" t="s">
        <v>474</v>
      </c>
      <c r="B414" t="s">
        <v>85</v>
      </c>
      <c r="C414" t="s">
        <v>23</v>
      </c>
      <c r="D414">
        <v>2.2999999999999998</v>
      </c>
      <c r="E414" t="s">
        <v>54</v>
      </c>
      <c r="F414" t="s">
        <v>49</v>
      </c>
      <c r="G414">
        <v>5500</v>
      </c>
      <c r="H414">
        <v>22</v>
      </c>
      <c r="I414">
        <v>22</v>
      </c>
      <c r="J414">
        <v>17</v>
      </c>
      <c r="K414">
        <v>77.3</v>
      </c>
      <c r="L414" t="s">
        <v>27</v>
      </c>
      <c r="M414" t="s">
        <v>27</v>
      </c>
      <c r="N414" t="s">
        <v>26</v>
      </c>
      <c r="O414" t="s">
        <v>26</v>
      </c>
      <c r="P414" t="s">
        <v>26</v>
      </c>
      <c r="Q414" t="s">
        <v>28</v>
      </c>
      <c r="R414" s="7">
        <v>46088</v>
      </c>
      <c r="S414">
        <v>2.9</v>
      </c>
      <c r="T414">
        <v>9</v>
      </c>
      <c r="U414" t="s">
        <v>29</v>
      </c>
    </row>
    <row r="415" spans="1:21" x14ac:dyDescent="0.3">
      <c r="A415" t="s">
        <v>475</v>
      </c>
      <c r="B415" t="s">
        <v>70</v>
      </c>
      <c r="C415" t="s">
        <v>41</v>
      </c>
      <c r="D415">
        <v>1.9</v>
      </c>
      <c r="E415" t="s">
        <v>33</v>
      </c>
      <c r="F415" t="s">
        <v>34</v>
      </c>
      <c r="G415">
        <v>3500</v>
      </c>
      <c r="H415">
        <v>11</v>
      </c>
      <c r="I415">
        <v>33</v>
      </c>
      <c r="J415">
        <v>15</v>
      </c>
      <c r="K415">
        <v>45.5</v>
      </c>
      <c r="L415" t="s">
        <v>26</v>
      </c>
      <c r="M415" t="s">
        <v>26</v>
      </c>
      <c r="N415" t="s">
        <v>26</v>
      </c>
      <c r="O415" t="s">
        <v>26</v>
      </c>
      <c r="P415" t="s">
        <v>27</v>
      </c>
      <c r="Q415" t="s">
        <v>28</v>
      </c>
      <c r="R415" s="7">
        <v>46028</v>
      </c>
      <c r="S415">
        <v>3.5</v>
      </c>
      <c r="T415">
        <v>5</v>
      </c>
      <c r="U415" t="s">
        <v>29</v>
      </c>
    </row>
    <row r="416" spans="1:21" x14ac:dyDescent="0.3">
      <c r="A416" t="s">
        <v>476</v>
      </c>
      <c r="B416" t="s">
        <v>75</v>
      </c>
      <c r="C416" t="s">
        <v>44</v>
      </c>
      <c r="D416">
        <v>1.9</v>
      </c>
      <c r="E416" t="s">
        <v>54</v>
      </c>
      <c r="F416" t="s">
        <v>49</v>
      </c>
      <c r="G416">
        <v>8000</v>
      </c>
      <c r="H416">
        <v>44</v>
      </c>
      <c r="I416">
        <v>44</v>
      </c>
      <c r="J416">
        <v>19</v>
      </c>
      <c r="K416">
        <v>43.2</v>
      </c>
      <c r="L416" t="s">
        <v>26</v>
      </c>
      <c r="M416" t="s">
        <v>26</v>
      </c>
      <c r="N416" t="s">
        <v>26</v>
      </c>
      <c r="O416" t="s">
        <v>26</v>
      </c>
      <c r="P416" t="s">
        <v>26</v>
      </c>
      <c r="Q416" t="s">
        <v>35</v>
      </c>
      <c r="R416" s="7">
        <v>46118</v>
      </c>
      <c r="S416">
        <v>4.3</v>
      </c>
      <c r="T416">
        <v>10</v>
      </c>
      <c r="U416" t="s">
        <v>29</v>
      </c>
    </row>
    <row r="417" spans="1:21" x14ac:dyDescent="0.3">
      <c r="A417" t="s">
        <v>477</v>
      </c>
      <c r="B417" t="s">
        <v>72</v>
      </c>
      <c r="C417" t="s">
        <v>44</v>
      </c>
      <c r="D417">
        <v>4.0999999999999996</v>
      </c>
      <c r="E417" t="s">
        <v>54</v>
      </c>
      <c r="F417" t="s">
        <v>49</v>
      </c>
      <c r="G417">
        <v>5500</v>
      </c>
      <c r="H417">
        <v>33</v>
      </c>
      <c r="I417">
        <v>33</v>
      </c>
      <c r="J417">
        <v>26</v>
      </c>
      <c r="K417">
        <v>78.8</v>
      </c>
      <c r="L417" t="s">
        <v>26</v>
      </c>
      <c r="M417" t="s">
        <v>26</v>
      </c>
      <c r="N417" t="s">
        <v>26</v>
      </c>
      <c r="O417" t="s">
        <v>27</v>
      </c>
      <c r="P417" t="s">
        <v>26</v>
      </c>
      <c r="Q417" t="s">
        <v>28</v>
      </c>
      <c r="R417" s="7">
        <v>45815</v>
      </c>
      <c r="S417">
        <v>4</v>
      </c>
      <c r="T417">
        <v>9</v>
      </c>
      <c r="U417" t="s">
        <v>29</v>
      </c>
    </row>
    <row r="418" spans="1:21" x14ac:dyDescent="0.3">
      <c r="A418" t="s">
        <v>478</v>
      </c>
      <c r="B418" t="s">
        <v>58</v>
      </c>
      <c r="C418" t="s">
        <v>44</v>
      </c>
      <c r="D418">
        <v>6</v>
      </c>
      <c r="E418" t="s">
        <v>48</v>
      </c>
      <c r="F418" t="s">
        <v>34</v>
      </c>
      <c r="G418">
        <v>3050</v>
      </c>
      <c r="H418">
        <v>15</v>
      </c>
      <c r="I418">
        <v>60</v>
      </c>
      <c r="J418">
        <v>51</v>
      </c>
      <c r="K418">
        <v>85</v>
      </c>
      <c r="L418" t="s">
        <v>26</v>
      </c>
      <c r="M418" t="s">
        <v>27</v>
      </c>
      <c r="N418" t="s">
        <v>26</v>
      </c>
      <c r="O418" t="s">
        <v>26</v>
      </c>
      <c r="P418" t="s">
        <v>26</v>
      </c>
      <c r="Q418" t="s">
        <v>28</v>
      </c>
      <c r="R418" s="7">
        <v>45708</v>
      </c>
      <c r="S418">
        <v>3.8</v>
      </c>
      <c r="T418">
        <v>7</v>
      </c>
      <c r="U418" t="s">
        <v>29</v>
      </c>
    </row>
    <row r="419" spans="1:21" x14ac:dyDescent="0.3">
      <c r="A419" t="s">
        <v>479</v>
      </c>
      <c r="B419" t="s">
        <v>60</v>
      </c>
      <c r="C419" t="s">
        <v>47</v>
      </c>
      <c r="D419">
        <v>4.5</v>
      </c>
      <c r="E419" t="s">
        <v>24</v>
      </c>
      <c r="F419" t="s">
        <v>49</v>
      </c>
      <c r="G419">
        <v>5500</v>
      </c>
      <c r="H419">
        <v>20</v>
      </c>
      <c r="I419">
        <v>40</v>
      </c>
      <c r="J419">
        <v>14</v>
      </c>
      <c r="K419">
        <v>35</v>
      </c>
      <c r="L419" t="s">
        <v>27</v>
      </c>
      <c r="M419" t="s">
        <v>26</v>
      </c>
      <c r="N419" t="s">
        <v>27</v>
      </c>
      <c r="O419" t="s">
        <v>27</v>
      </c>
      <c r="P419" t="s">
        <v>26</v>
      </c>
      <c r="Q419" t="s">
        <v>65</v>
      </c>
      <c r="R419" s="7">
        <v>45752</v>
      </c>
      <c r="S419">
        <v>4.0999999999999996</v>
      </c>
      <c r="T419">
        <v>15</v>
      </c>
      <c r="U419" t="s">
        <v>29</v>
      </c>
    </row>
    <row r="420" spans="1:21" x14ac:dyDescent="0.3">
      <c r="A420" t="s">
        <v>480</v>
      </c>
      <c r="B420" t="s">
        <v>60</v>
      </c>
      <c r="C420" t="s">
        <v>23</v>
      </c>
      <c r="D420">
        <v>6.8</v>
      </c>
      <c r="E420" t="s">
        <v>33</v>
      </c>
      <c r="F420" t="s">
        <v>25</v>
      </c>
      <c r="G420">
        <v>4000</v>
      </c>
      <c r="H420">
        <v>17</v>
      </c>
      <c r="I420">
        <v>51</v>
      </c>
      <c r="J420">
        <v>44</v>
      </c>
      <c r="K420">
        <v>86.3</v>
      </c>
      <c r="L420" t="s">
        <v>26</v>
      </c>
      <c r="M420" t="s">
        <v>26</v>
      </c>
      <c r="N420" t="s">
        <v>26</v>
      </c>
      <c r="O420" t="s">
        <v>27</v>
      </c>
      <c r="P420" t="s">
        <v>26</v>
      </c>
      <c r="Q420" t="s">
        <v>28</v>
      </c>
      <c r="R420" s="7">
        <v>46045</v>
      </c>
      <c r="S420">
        <v>3.8</v>
      </c>
      <c r="T420">
        <v>11</v>
      </c>
      <c r="U420" t="s">
        <v>29</v>
      </c>
    </row>
    <row r="421" spans="1:21" x14ac:dyDescent="0.3">
      <c r="A421" t="s">
        <v>481</v>
      </c>
      <c r="B421" t="s">
        <v>43</v>
      </c>
      <c r="C421" t="s">
        <v>47</v>
      </c>
      <c r="D421">
        <v>5.5</v>
      </c>
      <c r="E421" t="s">
        <v>48</v>
      </c>
      <c r="F421" t="s">
        <v>25</v>
      </c>
      <c r="G421">
        <v>4550</v>
      </c>
      <c r="H421">
        <v>34</v>
      </c>
      <c r="I421">
        <v>136</v>
      </c>
      <c r="J421">
        <v>103</v>
      </c>
      <c r="K421">
        <v>75.7</v>
      </c>
      <c r="L421" t="s">
        <v>27</v>
      </c>
      <c r="M421" t="s">
        <v>26</v>
      </c>
      <c r="N421" t="s">
        <v>27</v>
      </c>
      <c r="O421" t="s">
        <v>26</v>
      </c>
      <c r="P421" t="s">
        <v>27</v>
      </c>
      <c r="Q421" t="s">
        <v>65</v>
      </c>
      <c r="R421" s="7">
        <v>45962</v>
      </c>
      <c r="S421">
        <v>4.5999999999999996</v>
      </c>
      <c r="T421">
        <v>18</v>
      </c>
      <c r="U421" t="s">
        <v>29</v>
      </c>
    </row>
    <row r="422" spans="1:21" x14ac:dyDescent="0.3">
      <c r="A422" t="s">
        <v>482</v>
      </c>
      <c r="B422" t="s">
        <v>43</v>
      </c>
      <c r="C422" t="s">
        <v>44</v>
      </c>
      <c r="D422">
        <v>1.7</v>
      </c>
      <c r="E422" t="s">
        <v>48</v>
      </c>
      <c r="F422" t="s">
        <v>34</v>
      </c>
      <c r="G422">
        <v>3800</v>
      </c>
      <c r="H422">
        <v>29</v>
      </c>
      <c r="I422">
        <v>116</v>
      </c>
      <c r="J422">
        <v>48</v>
      </c>
      <c r="K422">
        <v>41.4</v>
      </c>
      <c r="L422" t="s">
        <v>26</v>
      </c>
      <c r="M422" t="s">
        <v>27</v>
      </c>
      <c r="N422" t="s">
        <v>26</v>
      </c>
      <c r="O422" t="s">
        <v>26</v>
      </c>
      <c r="P422" t="s">
        <v>26</v>
      </c>
      <c r="Q422" t="s">
        <v>28</v>
      </c>
      <c r="R422" s="7">
        <v>46051</v>
      </c>
      <c r="S422">
        <v>3.2</v>
      </c>
      <c r="T422">
        <v>5</v>
      </c>
      <c r="U422" t="s">
        <v>29</v>
      </c>
    </row>
    <row r="423" spans="1:21" x14ac:dyDescent="0.3">
      <c r="A423" t="s">
        <v>483</v>
      </c>
      <c r="B423" t="s">
        <v>31</v>
      </c>
      <c r="C423" t="s">
        <v>44</v>
      </c>
      <c r="D423">
        <v>6.3</v>
      </c>
      <c r="E423" t="s">
        <v>33</v>
      </c>
      <c r="F423" t="s">
        <v>34</v>
      </c>
      <c r="G423">
        <v>4500</v>
      </c>
      <c r="H423">
        <v>39</v>
      </c>
      <c r="I423">
        <v>117</v>
      </c>
      <c r="J423">
        <v>45</v>
      </c>
      <c r="K423">
        <v>38.5</v>
      </c>
      <c r="L423" t="s">
        <v>27</v>
      </c>
      <c r="M423" t="s">
        <v>26</v>
      </c>
      <c r="N423" t="s">
        <v>27</v>
      </c>
      <c r="O423" t="s">
        <v>26</v>
      </c>
      <c r="P423" t="s">
        <v>27</v>
      </c>
      <c r="Q423" t="s">
        <v>65</v>
      </c>
      <c r="R423" s="7">
        <v>45976</v>
      </c>
      <c r="S423">
        <v>3.7</v>
      </c>
      <c r="T423">
        <v>0</v>
      </c>
      <c r="U423" t="s">
        <v>29</v>
      </c>
    </row>
    <row r="424" spans="1:21" x14ac:dyDescent="0.3">
      <c r="A424" t="s">
        <v>484</v>
      </c>
      <c r="B424" t="s">
        <v>75</v>
      </c>
      <c r="C424" t="s">
        <v>41</v>
      </c>
      <c r="D424">
        <v>2.4</v>
      </c>
      <c r="E424" t="s">
        <v>48</v>
      </c>
      <c r="F424" t="s">
        <v>25</v>
      </c>
      <c r="G424">
        <v>2050</v>
      </c>
      <c r="H424">
        <v>26</v>
      </c>
      <c r="I424">
        <v>104</v>
      </c>
      <c r="J424">
        <v>89</v>
      </c>
      <c r="K424">
        <v>85.6</v>
      </c>
      <c r="L424" t="s">
        <v>26</v>
      </c>
      <c r="M424" t="s">
        <v>26</v>
      </c>
      <c r="N424" t="s">
        <v>26</v>
      </c>
      <c r="O424" t="s">
        <v>27</v>
      </c>
      <c r="P424" t="s">
        <v>26</v>
      </c>
      <c r="Q424" t="s">
        <v>28</v>
      </c>
      <c r="R424" s="7">
        <v>45850</v>
      </c>
      <c r="S424">
        <v>4.2</v>
      </c>
      <c r="T424">
        <v>15</v>
      </c>
      <c r="U424" t="s">
        <v>29</v>
      </c>
    </row>
    <row r="425" spans="1:21" x14ac:dyDescent="0.3">
      <c r="A425" t="s">
        <v>485</v>
      </c>
      <c r="B425" t="s">
        <v>51</v>
      </c>
      <c r="C425" t="s">
        <v>64</v>
      </c>
      <c r="D425">
        <v>4.3</v>
      </c>
      <c r="E425" t="s">
        <v>33</v>
      </c>
      <c r="F425" t="s">
        <v>49</v>
      </c>
      <c r="G425">
        <v>5000</v>
      </c>
      <c r="H425">
        <v>38</v>
      </c>
      <c r="I425">
        <v>114</v>
      </c>
      <c r="J425">
        <v>54</v>
      </c>
      <c r="K425">
        <v>47.4</v>
      </c>
      <c r="L425" t="s">
        <v>26</v>
      </c>
      <c r="M425" t="s">
        <v>26</v>
      </c>
      <c r="N425" t="s">
        <v>26</v>
      </c>
      <c r="O425" t="s">
        <v>26</v>
      </c>
      <c r="P425" t="s">
        <v>26</v>
      </c>
      <c r="Q425" t="s">
        <v>35</v>
      </c>
      <c r="R425" s="7">
        <v>46049</v>
      </c>
      <c r="S425">
        <v>4</v>
      </c>
      <c r="T425">
        <v>10</v>
      </c>
      <c r="U425" t="s">
        <v>29</v>
      </c>
    </row>
    <row r="426" spans="1:21" x14ac:dyDescent="0.3">
      <c r="A426" t="s">
        <v>486</v>
      </c>
      <c r="B426" t="s">
        <v>75</v>
      </c>
      <c r="C426" t="s">
        <v>81</v>
      </c>
      <c r="D426">
        <v>1.4</v>
      </c>
      <c r="E426" t="s">
        <v>33</v>
      </c>
      <c r="F426" t="s">
        <v>34</v>
      </c>
      <c r="G426">
        <v>3750</v>
      </c>
      <c r="H426">
        <v>34</v>
      </c>
      <c r="I426">
        <v>102</v>
      </c>
      <c r="J426">
        <v>80</v>
      </c>
      <c r="K426">
        <v>78.400000000000006</v>
      </c>
      <c r="L426" t="s">
        <v>26</v>
      </c>
      <c r="M426" t="s">
        <v>26</v>
      </c>
      <c r="N426" t="s">
        <v>27</v>
      </c>
      <c r="O426" t="s">
        <v>26</v>
      </c>
      <c r="P426" t="s">
        <v>26</v>
      </c>
      <c r="Q426" t="s">
        <v>28</v>
      </c>
      <c r="R426" s="7">
        <v>45716</v>
      </c>
      <c r="S426">
        <v>4.0999999999999996</v>
      </c>
      <c r="T426">
        <v>5</v>
      </c>
      <c r="U426" t="s">
        <v>29</v>
      </c>
    </row>
    <row r="427" spans="1:21" x14ac:dyDescent="0.3">
      <c r="A427" t="s">
        <v>487</v>
      </c>
      <c r="B427" t="s">
        <v>72</v>
      </c>
      <c r="C427" t="s">
        <v>81</v>
      </c>
      <c r="D427">
        <v>6.6</v>
      </c>
      <c r="E427" t="s">
        <v>33</v>
      </c>
      <c r="F427" t="s">
        <v>49</v>
      </c>
      <c r="G427">
        <v>3500</v>
      </c>
      <c r="H427">
        <v>31</v>
      </c>
      <c r="I427">
        <v>93</v>
      </c>
      <c r="J427">
        <v>38</v>
      </c>
      <c r="K427">
        <v>40.9</v>
      </c>
      <c r="L427" t="s">
        <v>26</v>
      </c>
      <c r="M427" t="s">
        <v>26</v>
      </c>
      <c r="N427" t="s">
        <v>26</v>
      </c>
      <c r="O427" t="s">
        <v>26</v>
      </c>
      <c r="P427" t="s">
        <v>26</v>
      </c>
      <c r="Q427" t="s">
        <v>35</v>
      </c>
      <c r="R427" s="7">
        <v>46214</v>
      </c>
      <c r="S427">
        <v>3.3</v>
      </c>
      <c r="T427">
        <v>11</v>
      </c>
      <c r="U427" t="s">
        <v>29</v>
      </c>
    </row>
    <row r="428" spans="1:21" x14ac:dyDescent="0.3">
      <c r="A428" t="s">
        <v>488</v>
      </c>
      <c r="B428" t="s">
        <v>83</v>
      </c>
      <c r="C428" t="s">
        <v>81</v>
      </c>
      <c r="D428">
        <v>6.9</v>
      </c>
      <c r="E428" t="s">
        <v>24</v>
      </c>
      <c r="F428" t="s">
        <v>34</v>
      </c>
      <c r="G428">
        <v>4250</v>
      </c>
      <c r="H428">
        <v>21</v>
      </c>
      <c r="I428">
        <v>42</v>
      </c>
      <c r="J428">
        <v>18</v>
      </c>
      <c r="K428">
        <v>42.9</v>
      </c>
      <c r="L428" t="s">
        <v>26</v>
      </c>
      <c r="M428" t="s">
        <v>27</v>
      </c>
      <c r="N428" t="s">
        <v>27</v>
      </c>
      <c r="O428" t="s">
        <v>26</v>
      </c>
      <c r="P428" t="s">
        <v>26</v>
      </c>
      <c r="Q428" t="s">
        <v>28</v>
      </c>
      <c r="R428" s="7">
        <v>46182</v>
      </c>
      <c r="S428">
        <v>4.2</v>
      </c>
      <c r="T428">
        <v>14</v>
      </c>
      <c r="U428" t="s">
        <v>29</v>
      </c>
    </row>
    <row r="429" spans="1:21" x14ac:dyDescent="0.3">
      <c r="A429" t="s">
        <v>489</v>
      </c>
      <c r="B429" t="s">
        <v>56</v>
      </c>
      <c r="C429" t="s">
        <v>64</v>
      </c>
      <c r="D429">
        <v>2.7</v>
      </c>
      <c r="E429" t="s">
        <v>33</v>
      </c>
      <c r="F429" t="s">
        <v>25</v>
      </c>
      <c r="G429">
        <v>3000</v>
      </c>
      <c r="H429">
        <v>36</v>
      </c>
      <c r="I429">
        <v>108</v>
      </c>
      <c r="J429">
        <v>103</v>
      </c>
      <c r="K429">
        <v>95.4</v>
      </c>
      <c r="L429" t="s">
        <v>26</v>
      </c>
      <c r="M429" t="s">
        <v>26</v>
      </c>
      <c r="N429" t="s">
        <v>26</v>
      </c>
      <c r="O429" t="s">
        <v>26</v>
      </c>
      <c r="P429" t="s">
        <v>26</v>
      </c>
      <c r="Q429" t="s">
        <v>35</v>
      </c>
      <c r="R429" s="7">
        <v>46017</v>
      </c>
      <c r="S429">
        <v>3.9</v>
      </c>
      <c r="T429">
        <v>4</v>
      </c>
      <c r="U429" t="s">
        <v>29</v>
      </c>
    </row>
    <row r="430" spans="1:21" x14ac:dyDescent="0.3">
      <c r="A430" t="s">
        <v>490</v>
      </c>
      <c r="B430" t="s">
        <v>75</v>
      </c>
      <c r="C430" t="s">
        <v>47</v>
      </c>
      <c r="D430">
        <v>2.4</v>
      </c>
      <c r="E430" t="s">
        <v>24</v>
      </c>
      <c r="F430" t="s">
        <v>25</v>
      </c>
      <c r="G430">
        <v>4500</v>
      </c>
      <c r="H430">
        <v>13</v>
      </c>
      <c r="I430">
        <v>26</v>
      </c>
      <c r="J430">
        <v>22</v>
      </c>
      <c r="K430">
        <v>84.6</v>
      </c>
      <c r="L430" t="s">
        <v>27</v>
      </c>
      <c r="M430" t="s">
        <v>26</v>
      </c>
      <c r="N430" t="s">
        <v>26</v>
      </c>
      <c r="O430" t="s">
        <v>26</v>
      </c>
      <c r="P430" t="s">
        <v>26</v>
      </c>
      <c r="Q430" t="s">
        <v>28</v>
      </c>
      <c r="R430" s="7">
        <v>45781</v>
      </c>
      <c r="S430">
        <v>4.8</v>
      </c>
      <c r="T430">
        <v>6</v>
      </c>
      <c r="U430" t="s">
        <v>29</v>
      </c>
    </row>
    <row r="431" spans="1:21" x14ac:dyDescent="0.3">
      <c r="A431" t="s">
        <v>491</v>
      </c>
      <c r="B431" t="s">
        <v>62</v>
      </c>
      <c r="C431" t="s">
        <v>23</v>
      </c>
      <c r="D431">
        <v>3.6</v>
      </c>
      <c r="E431" t="s">
        <v>33</v>
      </c>
      <c r="F431" t="s">
        <v>25</v>
      </c>
      <c r="G431">
        <v>2500</v>
      </c>
      <c r="H431">
        <v>12</v>
      </c>
      <c r="I431">
        <v>36</v>
      </c>
      <c r="J431">
        <v>21</v>
      </c>
      <c r="K431">
        <v>58.3</v>
      </c>
      <c r="L431" t="s">
        <v>26</v>
      </c>
      <c r="M431" t="s">
        <v>26</v>
      </c>
      <c r="N431" t="s">
        <v>27</v>
      </c>
      <c r="O431" t="s">
        <v>26</v>
      </c>
      <c r="P431" t="s">
        <v>26</v>
      </c>
      <c r="Q431" t="s">
        <v>28</v>
      </c>
      <c r="R431" s="7">
        <v>45677</v>
      </c>
      <c r="S431">
        <v>4.5999999999999996</v>
      </c>
      <c r="T431">
        <v>5</v>
      </c>
      <c r="U431" t="s">
        <v>29</v>
      </c>
    </row>
    <row r="432" spans="1:21" x14ac:dyDescent="0.3">
      <c r="A432" t="s">
        <v>492</v>
      </c>
      <c r="B432" t="s">
        <v>51</v>
      </c>
      <c r="C432" t="s">
        <v>23</v>
      </c>
      <c r="D432">
        <v>0.9</v>
      </c>
      <c r="E432" t="s">
        <v>33</v>
      </c>
      <c r="F432" t="s">
        <v>25</v>
      </c>
      <c r="G432">
        <v>4750</v>
      </c>
      <c r="H432">
        <v>30</v>
      </c>
      <c r="I432">
        <v>90</v>
      </c>
      <c r="J432">
        <v>53</v>
      </c>
      <c r="K432">
        <v>58.9</v>
      </c>
      <c r="L432" t="s">
        <v>26</v>
      </c>
      <c r="M432" t="s">
        <v>26</v>
      </c>
      <c r="N432" t="s">
        <v>26</v>
      </c>
      <c r="O432" t="s">
        <v>26</v>
      </c>
      <c r="P432" t="s">
        <v>26</v>
      </c>
      <c r="Q432" t="s">
        <v>35</v>
      </c>
      <c r="R432" s="7">
        <v>45831</v>
      </c>
      <c r="S432">
        <v>4.3</v>
      </c>
      <c r="T432">
        <v>6</v>
      </c>
      <c r="U432" t="s">
        <v>29</v>
      </c>
    </row>
    <row r="433" spans="1:21" x14ac:dyDescent="0.3">
      <c r="A433" t="s">
        <v>493</v>
      </c>
      <c r="B433" t="s">
        <v>56</v>
      </c>
      <c r="C433" t="s">
        <v>38</v>
      </c>
      <c r="D433">
        <v>6.9</v>
      </c>
      <c r="E433" t="s">
        <v>48</v>
      </c>
      <c r="F433" t="s">
        <v>25</v>
      </c>
      <c r="G433">
        <v>3050</v>
      </c>
      <c r="H433">
        <v>45</v>
      </c>
      <c r="I433">
        <v>180</v>
      </c>
      <c r="J433">
        <v>85</v>
      </c>
      <c r="K433">
        <v>47.2</v>
      </c>
      <c r="L433" t="s">
        <v>27</v>
      </c>
      <c r="M433" t="s">
        <v>27</v>
      </c>
      <c r="N433" t="s">
        <v>26</v>
      </c>
      <c r="O433" t="s">
        <v>26</v>
      </c>
      <c r="P433" t="s">
        <v>26</v>
      </c>
      <c r="Q433" t="s">
        <v>28</v>
      </c>
      <c r="R433" s="7">
        <v>46117</v>
      </c>
      <c r="S433">
        <v>3.9</v>
      </c>
      <c r="T433">
        <v>6</v>
      </c>
      <c r="U433" t="s">
        <v>29</v>
      </c>
    </row>
    <row r="434" spans="1:21" x14ac:dyDescent="0.3">
      <c r="A434" t="s">
        <v>494</v>
      </c>
      <c r="B434" t="s">
        <v>40</v>
      </c>
      <c r="C434" t="s">
        <v>32</v>
      </c>
      <c r="D434">
        <v>1</v>
      </c>
      <c r="E434" t="s">
        <v>33</v>
      </c>
      <c r="F434" t="s">
        <v>49</v>
      </c>
      <c r="G434">
        <v>2750</v>
      </c>
      <c r="H434">
        <v>37</v>
      </c>
      <c r="I434">
        <v>111</v>
      </c>
      <c r="J434">
        <v>52</v>
      </c>
      <c r="K434">
        <v>46.8</v>
      </c>
      <c r="L434" t="s">
        <v>26</v>
      </c>
      <c r="M434" t="s">
        <v>26</v>
      </c>
      <c r="N434" t="s">
        <v>26</v>
      </c>
      <c r="O434" t="s">
        <v>26</v>
      </c>
      <c r="P434" t="s">
        <v>27</v>
      </c>
      <c r="Q434" t="s">
        <v>28</v>
      </c>
      <c r="R434" s="7">
        <v>46199</v>
      </c>
      <c r="S434">
        <v>3.9</v>
      </c>
      <c r="T434">
        <v>2</v>
      </c>
      <c r="U434" t="s">
        <v>29</v>
      </c>
    </row>
    <row r="435" spans="1:21" x14ac:dyDescent="0.3">
      <c r="A435" t="s">
        <v>495</v>
      </c>
      <c r="B435" t="s">
        <v>85</v>
      </c>
      <c r="C435" t="s">
        <v>41</v>
      </c>
      <c r="D435">
        <v>5.2</v>
      </c>
      <c r="E435" t="s">
        <v>48</v>
      </c>
      <c r="F435" t="s">
        <v>34</v>
      </c>
      <c r="G435">
        <v>2550</v>
      </c>
      <c r="H435">
        <v>43</v>
      </c>
      <c r="I435">
        <v>172</v>
      </c>
      <c r="J435">
        <v>112</v>
      </c>
      <c r="K435">
        <v>65.099999999999994</v>
      </c>
      <c r="L435" t="s">
        <v>27</v>
      </c>
      <c r="M435" t="s">
        <v>26</v>
      </c>
      <c r="N435" t="s">
        <v>26</v>
      </c>
      <c r="O435" t="s">
        <v>27</v>
      </c>
      <c r="P435" t="s">
        <v>26</v>
      </c>
      <c r="Q435" t="s">
        <v>28</v>
      </c>
      <c r="R435" s="7">
        <v>45964</v>
      </c>
      <c r="S435">
        <v>4.2</v>
      </c>
      <c r="T435">
        <v>5</v>
      </c>
      <c r="U435" t="s">
        <v>29</v>
      </c>
    </row>
    <row r="436" spans="1:21" x14ac:dyDescent="0.3">
      <c r="A436" t="s">
        <v>496</v>
      </c>
      <c r="B436" t="s">
        <v>150</v>
      </c>
      <c r="C436" t="s">
        <v>38</v>
      </c>
      <c r="D436">
        <v>3.1</v>
      </c>
      <c r="E436" t="s">
        <v>54</v>
      </c>
      <c r="F436" t="s">
        <v>49</v>
      </c>
      <c r="G436">
        <v>6250</v>
      </c>
      <c r="H436">
        <v>17</v>
      </c>
      <c r="I436">
        <v>17</v>
      </c>
      <c r="J436">
        <v>11</v>
      </c>
      <c r="K436">
        <v>64.7</v>
      </c>
      <c r="L436" t="s">
        <v>26</v>
      </c>
      <c r="M436" t="s">
        <v>26</v>
      </c>
      <c r="N436" t="s">
        <v>26</v>
      </c>
      <c r="O436" t="s">
        <v>26</v>
      </c>
      <c r="P436" t="s">
        <v>26</v>
      </c>
      <c r="Q436" t="s">
        <v>35</v>
      </c>
      <c r="R436" s="7">
        <v>46077</v>
      </c>
      <c r="S436">
        <v>4.3</v>
      </c>
      <c r="T436">
        <v>10</v>
      </c>
      <c r="U436" t="s">
        <v>29</v>
      </c>
    </row>
    <row r="437" spans="1:21" x14ac:dyDescent="0.3">
      <c r="A437" t="s">
        <v>497</v>
      </c>
      <c r="B437" t="s">
        <v>22</v>
      </c>
      <c r="C437" t="s">
        <v>47</v>
      </c>
      <c r="D437">
        <v>6.3</v>
      </c>
      <c r="E437" t="s">
        <v>48</v>
      </c>
      <c r="F437" t="s">
        <v>49</v>
      </c>
      <c r="G437">
        <v>2800</v>
      </c>
      <c r="H437">
        <v>45</v>
      </c>
      <c r="I437">
        <v>180</v>
      </c>
      <c r="J437">
        <v>137</v>
      </c>
      <c r="K437">
        <v>76.099999999999994</v>
      </c>
      <c r="L437" t="s">
        <v>27</v>
      </c>
      <c r="M437" t="s">
        <v>27</v>
      </c>
      <c r="N437" t="s">
        <v>26</v>
      </c>
      <c r="O437" t="s">
        <v>27</v>
      </c>
      <c r="P437" t="s">
        <v>26</v>
      </c>
      <c r="Q437" t="s">
        <v>65</v>
      </c>
      <c r="R437" s="7">
        <v>45946</v>
      </c>
      <c r="S437">
        <v>5</v>
      </c>
      <c r="T437">
        <v>16</v>
      </c>
      <c r="U437" t="s">
        <v>29</v>
      </c>
    </row>
    <row r="438" spans="1:21" x14ac:dyDescent="0.3">
      <c r="A438" t="s">
        <v>498</v>
      </c>
      <c r="B438" t="s">
        <v>75</v>
      </c>
      <c r="C438" t="s">
        <v>64</v>
      </c>
      <c r="D438">
        <v>1</v>
      </c>
      <c r="E438" t="s">
        <v>33</v>
      </c>
      <c r="F438" t="s">
        <v>49</v>
      </c>
      <c r="G438">
        <v>4250</v>
      </c>
      <c r="H438">
        <v>39</v>
      </c>
      <c r="I438">
        <v>117</v>
      </c>
      <c r="J438">
        <v>69</v>
      </c>
      <c r="K438">
        <v>59</v>
      </c>
      <c r="L438" t="s">
        <v>26</v>
      </c>
      <c r="M438" t="s">
        <v>26</v>
      </c>
      <c r="N438" t="s">
        <v>27</v>
      </c>
      <c r="O438" t="s">
        <v>26</v>
      </c>
      <c r="P438" t="s">
        <v>26</v>
      </c>
      <c r="Q438" t="s">
        <v>28</v>
      </c>
      <c r="R438" s="7">
        <v>45804</v>
      </c>
      <c r="S438">
        <v>3.4</v>
      </c>
      <c r="T438">
        <v>15</v>
      </c>
      <c r="U438" t="s">
        <v>29</v>
      </c>
    </row>
    <row r="439" spans="1:21" x14ac:dyDescent="0.3">
      <c r="A439" t="s">
        <v>499</v>
      </c>
      <c r="B439" t="s">
        <v>60</v>
      </c>
      <c r="C439" t="s">
        <v>81</v>
      </c>
      <c r="D439">
        <v>1.3</v>
      </c>
      <c r="E439" t="s">
        <v>54</v>
      </c>
      <c r="F439" t="s">
        <v>49</v>
      </c>
      <c r="G439">
        <v>11500</v>
      </c>
      <c r="H439">
        <v>12</v>
      </c>
      <c r="I439">
        <v>12</v>
      </c>
      <c r="J439">
        <v>12</v>
      </c>
      <c r="K439">
        <v>100</v>
      </c>
      <c r="L439" t="s">
        <v>27</v>
      </c>
      <c r="M439" t="s">
        <v>27</v>
      </c>
      <c r="N439" t="s">
        <v>26</v>
      </c>
      <c r="O439" t="s">
        <v>27</v>
      </c>
      <c r="P439" t="s">
        <v>26</v>
      </c>
      <c r="Q439" t="s">
        <v>65</v>
      </c>
      <c r="R439" s="7">
        <v>46171</v>
      </c>
      <c r="S439">
        <v>2.7</v>
      </c>
      <c r="T439">
        <v>16</v>
      </c>
      <c r="U439" t="s">
        <v>29</v>
      </c>
    </row>
    <row r="440" spans="1:21" x14ac:dyDescent="0.3">
      <c r="A440" t="s">
        <v>500</v>
      </c>
      <c r="B440" t="s">
        <v>72</v>
      </c>
      <c r="C440" t="s">
        <v>81</v>
      </c>
      <c r="D440">
        <v>6.1</v>
      </c>
      <c r="E440" t="s">
        <v>54</v>
      </c>
      <c r="F440" t="s">
        <v>25</v>
      </c>
      <c r="G440">
        <v>11500</v>
      </c>
      <c r="H440">
        <v>10</v>
      </c>
      <c r="I440">
        <v>10</v>
      </c>
      <c r="J440">
        <v>9</v>
      </c>
      <c r="K440">
        <v>90</v>
      </c>
      <c r="L440" t="s">
        <v>27</v>
      </c>
      <c r="M440" t="s">
        <v>27</v>
      </c>
      <c r="N440" t="s">
        <v>26</v>
      </c>
      <c r="O440" t="s">
        <v>27</v>
      </c>
      <c r="P440" t="s">
        <v>27</v>
      </c>
      <c r="Q440" t="s">
        <v>65</v>
      </c>
      <c r="R440" s="7">
        <v>45788</v>
      </c>
      <c r="S440">
        <v>4.3</v>
      </c>
      <c r="T440">
        <v>14</v>
      </c>
      <c r="U440" t="s">
        <v>29</v>
      </c>
    </row>
    <row r="441" spans="1:21" x14ac:dyDescent="0.3">
      <c r="A441" t="s">
        <v>501</v>
      </c>
      <c r="B441" t="s">
        <v>58</v>
      </c>
      <c r="C441" t="s">
        <v>44</v>
      </c>
      <c r="D441">
        <v>3.8</v>
      </c>
      <c r="E441" t="s">
        <v>24</v>
      </c>
      <c r="F441" t="s">
        <v>49</v>
      </c>
      <c r="G441">
        <v>5750</v>
      </c>
      <c r="H441">
        <v>32</v>
      </c>
      <c r="I441">
        <v>64</v>
      </c>
      <c r="J441">
        <v>53</v>
      </c>
      <c r="K441">
        <v>82.8</v>
      </c>
      <c r="L441" t="s">
        <v>26</v>
      </c>
      <c r="M441" t="s">
        <v>26</v>
      </c>
      <c r="N441" t="s">
        <v>26</v>
      </c>
      <c r="O441" t="s">
        <v>27</v>
      </c>
      <c r="P441" t="s">
        <v>27</v>
      </c>
      <c r="Q441" t="s">
        <v>28</v>
      </c>
      <c r="R441" s="7">
        <v>45779</v>
      </c>
      <c r="S441">
        <v>4.0999999999999996</v>
      </c>
      <c r="T441">
        <v>12</v>
      </c>
      <c r="U441" t="s">
        <v>29</v>
      </c>
    </row>
    <row r="442" spans="1:21" x14ac:dyDescent="0.3">
      <c r="A442" t="s">
        <v>502</v>
      </c>
      <c r="B442" t="s">
        <v>150</v>
      </c>
      <c r="C442" t="s">
        <v>32</v>
      </c>
      <c r="D442">
        <v>4.7</v>
      </c>
      <c r="E442" t="s">
        <v>33</v>
      </c>
      <c r="F442" t="s">
        <v>49</v>
      </c>
      <c r="G442">
        <v>5500</v>
      </c>
      <c r="H442">
        <v>26</v>
      </c>
      <c r="I442">
        <v>78</v>
      </c>
      <c r="J442">
        <v>47</v>
      </c>
      <c r="K442">
        <v>60.3</v>
      </c>
      <c r="L442" t="s">
        <v>26</v>
      </c>
      <c r="M442" t="s">
        <v>26</v>
      </c>
      <c r="N442" t="s">
        <v>26</v>
      </c>
      <c r="O442" t="s">
        <v>26</v>
      </c>
      <c r="P442" t="s">
        <v>26</v>
      </c>
      <c r="Q442" t="s">
        <v>35</v>
      </c>
      <c r="R442" s="7">
        <v>45729</v>
      </c>
      <c r="S442">
        <v>5</v>
      </c>
      <c r="T442">
        <v>18</v>
      </c>
      <c r="U442" t="s">
        <v>29</v>
      </c>
    </row>
    <row r="443" spans="1:21" x14ac:dyDescent="0.3">
      <c r="A443" t="s">
        <v>503</v>
      </c>
      <c r="B443" t="s">
        <v>37</v>
      </c>
      <c r="C443" t="s">
        <v>38</v>
      </c>
      <c r="D443">
        <v>3.3</v>
      </c>
      <c r="E443" t="s">
        <v>33</v>
      </c>
      <c r="F443" t="s">
        <v>49</v>
      </c>
      <c r="G443">
        <v>4000</v>
      </c>
      <c r="H443">
        <v>30</v>
      </c>
      <c r="I443">
        <v>90</v>
      </c>
      <c r="J443">
        <v>34</v>
      </c>
      <c r="K443">
        <v>37.799999999999997</v>
      </c>
      <c r="L443" t="s">
        <v>26</v>
      </c>
      <c r="M443" t="s">
        <v>26</v>
      </c>
      <c r="N443" t="s">
        <v>27</v>
      </c>
      <c r="O443" t="s">
        <v>26</v>
      </c>
      <c r="P443" t="s">
        <v>26</v>
      </c>
      <c r="Q443" t="s">
        <v>28</v>
      </c>
      <c r="R443" s="7">
        <v>45917</v>
      </c>
      <c r="S443">
        <v>4.2</v>
      </c>
      <c r="T443">
        <v>2</v>
      </c>
      <c r="U443" t="s">
        <v>29</v>
      </c>
    </row>
    <row r="444" spans="1:21" x14ac:dyDescent="0.3">
      <c r="A444" t="s">
        <v>504</v>
      </c>
      <c r="B444" t="s">
        <v>22</v>
      </c>
      <c r="C444" t="s">
        <v>81</v>
      </c>
      <c r="D444">
        <v>1.4</v>
      </c>
      <c r="E444" t="s">
        <v>33</v>
      </c>
      <c r="F444" t="s">
        <v>25</v>
      </c>
      <c r="G444">
        <v>2500</v>
      </c>
      <c r="H444">
        <v>37</v>
      </c>
      <c r="I444">
        <v>111</v>
      </c>
      <c r="J444">
        <v>92</v>
      </c>
      <c r="K444">
        <v>82.9</v>
      </c>
      <c r="L444" t="s">
        <v>27</v>
      </c>
      <c r="M444" t="s">
        <v>26</v>
      </c>
      <c r="N444" t="s">
        <v>26</v>
      </c>
      <c r="O444" t="s">
        <v>27</v>
      </c>
      <c r="P444" t="s">
        <v>26</v>
      </c>
      <c r="Q444" t="s">
        <v>28</v>
      </c>
      <c r="R444" s="7">
        <v>46194</v>
      </c>
      <c r="S444">
        <v>3.6</v>
      </c>
      <c r="T444">
        <v>10</v>
      </c>
      <c r="U444" t="s">
        <v>29</v>
      </c>
    </row>
    <row r="445" spans="1:21" x14ac:dyDescent="0.3">
      <c r="A445" t="s">
        <v>505</v>
      </c>
      <c r="B445" t="s">
        <v>22</v>
      </c>
      <c r="C445" t="s">
        <v>64</v>
      </c>
      <c r="D445">
        <v>0.9</v>
      </c>
      <c r="E445" t="s">
        <v>24</v>
      </c>
      <c r="F445" t="s">
        <v>25</v>
      </c>
      <c r="G445">
        <v>6000</v>
      </c>
      <c r="H445">
        <v>39</v>
      </c>
      <c r="I445">
        <v>78</v>
      </c>
      <c r="J445">
        <v>59</v>
      </c>
      <c r="K445">
        <v>75.599999999999994</v>
      </c>
      <c r="L445" t="s">
        <v>27</v>
      </c>
      <c r="M445" t="s">
        <v>26</v>
      </c>
      <c r="N445" t="s">
        <v>26</v>
      </c>
      <c r="O445" t="s">
        <v>26</v>
      </c>
      <c r="P445" t="s">
        <v>26</v>
      </c>
      <c r="Q445" t="s">
        <v>28</v>
      </c>
      <c r="R445" s="7">
        <v>46014</v>
      </c>
      <c r="S445">
        <v>4.4000000000000004</v>
      </c>
      <c r="T445">
        <v>15</v>
      </c>
      <c r="U445" t="s">
        <v>29</v>
      </c>
    </row>
    <row r="446" spans="1:21" x14ac:dyDescent="0.3">
      <c r="A446" t="s">
        <v>506</v>
      </c>
      <c r="B446" t="s">
        <v>43</v>
      </c>
      <c r="C446" t="s">
        <v>47</v>
      </c>
      <c r="D446">
        <v>2.2999999999999998</v>
      </c>
      <c r="E446" t="s">
        <v>54</v>
      </c>
      <c r="F446" t="s">
        <v>49</v>
      </c>
      <c r="G446">
        <v>7750</v>
      </c>
      <c r="H446">
        <v>44</v>
      </c>
      <c r="I446">
        <v>44</v>
      </c>
      <c r="J446">
        <v>27</v>
      </c>
      <c r="K446">
        <v>61.4</v>
      </c>
      <c r="L446" t="s">
        <v>26</v>
      </c>
      <c r="M446" t="s">
        <v>26</v>
      </c>
      <c r="N446" t="s">
        <v>27</v>
      </c>
      <c r="O446" t="s">
        <v>26</v>
      </c>
      <c r="P446" t="s">
        <v>26</v>
      </c>
      <c r="Q446" t="s">
        <v>28</v>
      </c>
      <c r="R446" s="7">
        <v>45898</v>
      </c>
      <c r="S446">
        <v>3.4</v>
      </c>
      <c r="T446">
        <v>2</v>
      </c>
      <c r="U446" t="s">
        <v>29</v>
      </c>
    </row>
    <row r="447" spans="1:21" x14ac:dyDescent="0.3">
      <c r="A447" t="s">
        <v>507</v>
      </c>
      <c r="B447" t="s">
        <v>31</v>
      </c>
      <c r="C447" t="s">
        <v>81</v>
      </c>
      <c r="D447">
        <v>6</v>
      </c>
      <c r="E447" t="s">
        <v>33</v>
      </c>
      <c r="F447" t="s">
        <v>49</v>
      </c>
      <c r="G447">
        <v>4500</v>
      </c>
      <c r="H447">
        <v>27</v>
      </c>
      <c r="I447">
        <v>81</v>
      </c>
      <c r="J447">
        <v>55</v>
      </c>
      <c r="K447">
        <v>67.900000000000006</v>
      </c>
      <c r="L447" t="s">
        <v>27</v>
      </c>
      <c r="M447" t="s">
        <v>26</v>
      </c>
      <c r="N447" t="s">
        <v>26</v>
      </c>
      <c r="O447" t="s">
        <v>26</v>
      </c>
      <c r="P447" t="s">
        <v>26</v>
      </c>
      <c r="Q447" t="s">
        <v>28</v>
      </c>
      <c r="R447" s="7">
        <v>46219</v>
      </c>
      <c r="S447">
        <v>3.7</v>
      </c>
      <c r="T447">
        <v>16</v>
      </c>
      <c r="U447" t="s">
        <v>29</v>
      </c>
    </row>
    <row r="448" spans="1:21" x14ac:dyDescent="0.3">
      <c r="A448" t="s">
        <v>508</v>
      </c>
      <c r="B448" t="s">
        <v>72</v>
      </c>
      <c r="C448" t="s">
        <v>44</v>
      </c>
      <c r="D448">
        <v>6.6</v>
      </c>
      <c r="E448" t="s">
        <v>24</v>
      </c>
      <c r="F448" t="s">
        <v>25</v>
      </c>
      <c r="G448">
        <v>7250</v>
      </c>
      <c r="H448">
        <v>21</v>
      </c>
      <c r="I448">
        <v>42</v>
      </c>
      <c r="J448">
        <v>35</v>
      </c>
      <c r="K448">
        <v>83.3</v>
      </c>
      <c r="L448" t="s">
        <v>26</v>
      </c>
      <c r="M448" t="s">
        <v>26</v>
      </c>
      <c r="N448" t="s">
        <v>27</v>
      </c>
      <c r="O448" t="s">
        <v>26</v>
      </c>
      <c r="P448" t="s">
        <v>27</v>
      </c>
      <c r="Q448" t="s">
        <v>28</v>
      </c>
      <c r="R448" s="7">
        <v>46145</v>
      </c>
      <c r="S448">
        <v>3.6</v>
      </c>
      <c r="T448">
        <v>11</v>
      </c>
      <c r="U448" t="s">
        <v>29</v>
      </c>
    </row>
    <row r="449" spans="1:21" x14ac:dyDescent="0.3">
      <c r="A449" t="s">
        <v>509</v>
      </c>
      <c r="B449" t="s">
        <v>58</v>
      </c>
      <c r="C449" t="s">
        <v>32</v>
      </c>
      <c r="D449">
        <v>3.2</v>
      </c>
      <c r="E449" t="s">
        <v>54</v>
      </c>
      <c r="F449" t="s">
        <v>49</v>
      </c>
      <c r="G449">
        <v>10500</v>
      </c>
      <c r="H449">
        <v>21</v>
      </c>
      <c r="I449">
        <v>21</v>
      </c>
      <c r="J449">
        <v>20</v>
      </c>
      <c r="K449">
        <v>95.2</v>
      </c>
      <c r="L449" t="s">
        <v>26</v>
      </c>
      <c r="M449" t="s">
        <v>26</v>
      </c>
      <c r="N449" t="s">
        <v>27</v>
      </c>
      <c r="O449" t="s">
        <v>26</v>
      </c>
      <c r="P449" t="s">
        <v>26</v>
      </c>
      <c r="Q449" t="s">
        <v>28</v>
      </c>
      <c r="R449" s="7">
        <v>46089</v>
      </c>
      <c r="S449">
        <v>4.0999999999999996</v>
      </c>
      <c r="T449">
        <v>7</v>
      </c>
      <c r="U449" t="s">
        <v>29</v>
      </c>
    </row>
    <row r="450" spans="1:21" x14ac:dyDescent="0.3">
      <c r="A450" t="s">
        <v>510</v>
      </c>
      <c r="B450" t="s">
        <v>40</v>
      </c>
      <c r="C450" t="s">
        <v>38</v>
      </c>
      <c r="D450">
        <v>1.3</v>
      </c>
      <c r="E450" t="s">
        <v>54</v>
      </c>
      <c r="F450" t="s">
        <v>49</v>
      </c>
      <c r="G450">
        <v>7250</v>
      </c>
      <c r="H450">
        <v>27</v>
      </c>
      <c r="I450">
        <v>27</v>
      </c>
      <c r="J450">
        <v>23</v>
      </c>
      <c r="K450">
        <v>85.2</v>
      </c>
      <c r="L450" t="s">
        <v>26</v>
      </c>
      <c r="M450" t="s">
        <v>26</v>
      </c>
      <c r="N450" t="s">
        <v>27</v>
      </c>
      <c r="O450" t="s">
        <v>27</v>
      </c>
      <c r="P450" t="s">
        <v>27</v>
      </c>
      <c r="Q450" t="s">
        <v>65</v>
      </c>
      <c r="R450" s="7">
        <v>46164</v>
      </c>
      <c r="S450">
        <v>4</v>
      </c>
      <c r="T450">
        <v>5</v>
      </c>
      <c r="U450" t="s">
        <v>29</v>
      </c>
    </row>
    <row r="451" spans="1:21" x14ac:dyDescent="0.3">
      <c r="A451" t="s">
        <v>511</v>
      </c>
      <c r="B451" t="s">
        <v>72</v>
      </c>
      <c r="C451" t="s">
        <v>44</v>
      </c>
      <c r="D451">
        <v>4.9000000000000004</v>
      </c>
      <c r="E451" t="s">
        <v>54</v>
      </c>
      <c r="F451" t="s">
        <v>49</v>
      </c>
      <c r="G451">
        <v>11250</v>
      </c>
      <c r="H451">
        <v>39</v>
      </c>
      <c r="I451">
        <v>39</v>
      </c>
      <c r="J451">
        <v>38</v>
      </c>
      <c r="K451">
        <v>97.4</v>
      </c>
      <c r="L451" t="s">
        <v>26</v>
      </c>
      <c r="M451" t="s">
        <v>26</v>
      </c>
      <c r="N451" t="s">
        <v>26</v>
      </c>
      <c r="O451" t="s">
        <v>26</v>
      </c>
      <c r="P451" t="s">
        <v>26</v>
      </c>
      <c r="Q451" t="s">
        <v>35</v>
      </c>
      <c r="R451" s="7">
        <v>45687</v>
      </c>
      <c r="S451">
        <v>4.0999999999999996</v>
      </c>
      <c r="T451">
        <v>13</v>
      </c>
      <c r="U451" t="s">
        <v>29</v>
      </c>
    </row>
    <row r="452" spans="1:21" x14ac:dyDescent="0.3">
      <c r="A452" t="s">
        <v>512</v>
      </c>
      <c r="B452" t="s">
        <v>43</v>
      </c>
      <c r="C452" t="s">
        <v>32</v>
      </c>
      <c r="D452">
        <v>7.1</v>
      </c>
      <c r="E452" t="s">
        <v>24</v>
      </c>
      <c r="F452" t="s">
        <v>25</v>
      </c>
      <c r="G452">
        <v>5250</v>
      </c>
      <c r="H452">
        <v>15</v>
      </c>
      <c r="I452">
        <v>30</v>
      </c>
      <c r="J452">
        <v>28</v>
      </c>
      <c r="K452">
        <v>93.3</v>
      </c>
      <c r="L452" t="s">
        <v>26</v>
      </c>
      <c r="M452" t="s">
        <v>26</v>
      </c>
      <c r="N452" t="s">
        <v>26</v>
      </c>
      <c r="O452" t="s">
        <v>26</v>
      </c>
      <c r="P452" t="s">
        <v>26</v>
      </c>
      <c r="Q452" t="s">
        <v>35</v>
      </c>
      <c r="R452" s="7">
        <v>46179</v>
      </c>
      <c r="S452">
        <v>4.0999999999999996</v>
      </c>
      <c r="T452">
        <v>3</v>
      </c>
      <c r="U452" t="s">
        <v>29</v>
      </c>
    </row>
    <row r="453" spans="1:21" x14ac:dyDescent="0.3">
      <c r="A453" t="s">
        <v>513</v>
      </c>
      <c r="B453" t="s">
        <v>37</v>
      </c>
      <c r="C453" t="s">
        <v>47</v>
      </c>
      <c r="D453">
        <v>7</v>
      </c>
      <c r="E453" t="s">
        <v>24</v>
      </c>
      <c r="F453" t="s">
        <v>25</v>
      </c>
      <c r="G453">
        <v>4500</v>
      </c>
      <c r="H453">
        <v>14</v>
      </c>
      <c r="I453">
        <v>28</v>
      </c>
      <c r="J453">
        <v>14</v>
      </c>
      <c r="K453">
        <v>50</v>
      </c>
      <c r="L453" t="s">
        <v>26</v>
      </c>
      <c r="M453" t="s">
        <v>26</v>
      </c>
      <c r="N453" t="s">
        <v>26</v>
      </c>
      <c r="O453" t="s">
        <v>26</v>
      </c>
      <c r="P453" t="s">
        <v>27</v>
      </c>
      <c r="Q453" t="s">
        <v>28</v>
      </c>
      <c r="R453" s="7">
        <v>45886</v>
      </c>
      <c r="S453">
        <v>3.5</v>
      </c>
      <c r="T453">
        <v>15</v>
      </c>
      <c r="U453" t="s">
        <v>29</v>
      </c>
    </row>
    <row r="454" spans="1:21" x14ac:dyDescent="0.3">
      <c r="A454" t="s">
        <v>514</v>
      </c>
      <c r="B454" t="s">
        <v>51</v>
      </c>
      <c r="C454" t="s">
        <v>38</v>
      </c>
      <c r="D454">
        <v>2.5</v>
      </c>
      <c r="E454" t="s">
        <v>48</v>
      </c>
      <c r="F454" t="s">
        <v>34</v>
      </c>
      <c r="G454">
        <v>3550</v>
      </c>
      <c r="H454">
        <v>23</v>
      </c>
      <c r="I454">
        <v>92</v>
      </c>
      <c r="J454">
        <v>49</v>
      </c>
      <c r="K454">
        <v>53.3</v>
      </c>
      <c r="L454" t="s">
        <v>26</v>
      </c>
      <c r="M454" t="s">
        <v>26</v>
      </c>
      <c r="N454" t="s">
        <v>27</v>
      </c>
      <c r="O454" t="s">
        <v>26</v>
      </c>
      <c r="P454" t="s">
        <v>27</v>
      </c>
      <c r="Q454" t="s">
        <v>28</v>
      </c>
      <c r="R454" s="7">
        <v>45815</v>
      </c>
      <c r="S454">
        <v>3.3</v>
      </c>
      <c r="T454">
        <v>0</v>
      </c>
      <c r="U454" t="s">
        <v>29</v>
      </c>
    </row>
    <row r="455" spans="1:21" x14ac:dyDescent="0.3">
      <c r="A455" t="s">
        <v>515</v>
      </c>
      <c r="B455" t="s">
        <v>67</v>
      </c>
      <c r="C455" t="s">
        <v>47</v>
      </c>
      <c r="D455">
        <v>2</v>
      </c>
      <c r="E455" t="s">
        <v>48</v>
      </c>
      <c r="F455" t="s">
        <v>49</v>
      </c>
      <c r="G455">
        <v>2800</v>
      </c>
      <c r="H455">
        <v>31</v>
      </c>
      <c r="I455">
        <v>124</v>
      </c>
      <c r="J455">
        <v>58</v>
      </c>
      <c r="K455">
        <v>46.8</v>
      </c>
      <c r="L455" t="s">
        <v>26</v>
      </c>
      <c r="M455" t="s">
        <v>27</v>
      </c>
      <c r="N455" t="s">
        <v>26</v>
      </c>
      <c r="O455" t="s">
        <v>26</v>
      </c>
      <c r="P455" t="s">
        <v>27</v>
      </c>
      <c r="Q455" t="s">
        <v>28</v>
      </c>
      <c r="R455" s="7">
        <v>46214</v>
      </c>
      <c r="S455">
        <v>3.1</v>
      </c>
      <c r="T455">
        <v>8</v>
      </c>
      <c r="U455" t="s">
        <v>29</v>
      </c>
    </row>
    <row r="456" spans="1:21" x14ac:dyDescent="0.3">
      <c r="A456" t="s">
        <v>516</v>
      </c>
      <c r="B456" t="s">
        <v>43</v>
      </c>
      <c r="C456" t="s">
        <v>47</v>
      </c>
      <c r="D456">
        <v>2.4</v>
      </c>
      <c r="E456" t="s">
        <v>24</v>
      </c>
      <c r="F456" t="s">
        <v>34</v>
      </c>
      <c r="G456">
        <v>7000</v>
      </c>
      <c r="H456">
        <v>28</v>
      </c>
      <c r="I456">
        <v>56</v>
      </c>
      <c r="J456">
        <v>45</v>
      </c>
      <c r="K456">
        <v>80.400000000000006</v>
      </c>
      <c r="L456" t="s">
        <v>27</v>
      </c>
      <c r="M456" t="s">
        <v>27</v>
      </c>
      <c r="N456" t="s">
        <v>26</v>
      </c>
      <c r="O456" t="s">
        <v>26</v>
      </c>
      <c r="P456" t="s">
        <v>26</v>
      </c>
      <c r="Q456" t="s">
        <v>28</v>
      </c>
      <c r="R456" s="7">
        <v>45701</v>
      </c>
      <c r="S456">
        <v>3.8</v>
      </c>
      <c r="T456">
        <v>10</v>
      </c>
      <c r="U456" t="s">
        <v>29</v>
      </c>
    </row>
    <row r="457" spans="1:21" x14ac:dyDescent="0.3">
      <c r="A457" t="s">
        <v>517</v>
      </c>
      <c r="B457" t="s">
        <v>70</v>
      </c>
      <c r="C457" t="s">
        <v>41</v>
      </c>
      <c r="D457">
        <v>3.9</v>
      </c>
      <c r="E457" t="s">
        <v>33</v>
      </c>
      <c r="F457" t="s">
        <v>34</v>
      </c>
      <c r="G457">
        <v>4000</v>
      </c>
      <c r="H457">
        <v>43</v>
      </c>
      <c r="I457">
        <v>129</v>
      </c>
      <c r="J457">
        <v>86</v>
      </c>
      <c r="K457">
        <v>66.7</v>
      </c>
      <c r="L457" t="s">
        <v>26</v>
      </c>
      <c r="M457" t="s">
        <v>27</v>
      </c>
      <c r="N457" t="s">
        <v>27</v>
      </c>
      <c r="O457" t="s">
        <v>26</v>
      </c>
      <c r="P457" t="s">
        <v>26</v>
      </c>
      <c r="Q457" t="s">
        <v>28</v>
      </c>
      <c r="R457" s="7">
        <v>46131</v>
      </c>
      <c r="S457">
        <v>2.9</v>
      </c>
      <c r="T457">
        <v>4</v>
      </c>
      <c r="U457" t="s">
        <v>29</v>
      </c>
    </row>
    <row r="458" spans="1:21" x14ac:dyDescent="0.3">
      <c r="A458" t="s">
        <v>518</v>
      </c>
      <c r="B458" t="s">
        <v>37</v>
      </c>
      <c r="C458" t="s">
        <v>47</v>
      </c>
      <c r="D458">
        <v>4.8</v>
      </c>
      <c r="E458" t="s">
        <v>33</v>
      </c>
      <c r="F458" t="s">
        <v>49</v>
      </c>
      <c r="G458">
        <v>4750</v>
      </c>
      <c r="H458">
        <v>13</v>
      </c>
      <c r="I458">
        <v>39</v>
      </c>
      <c r="J458">
        <v>16</v>
      </c>
      <c r="K458">
        <v>41</v>
      </c>
      <c r="L458" t="s">
        <v>27</v>
      </c>
      <c r="M458" t="s">
        <v>26</v>
      </c>
      <c r="N458" t="s">
        <v>27</v>
      </c>
      <c r="O458" t="s">
        <v>26</v>
      </c>
      <c r="P458" t="s">
        <v>26</v>
      </c>
      <c r="Q458" t="s">
        <v>28</v>
      </c>
      <c r="R458" s="7">
        <v>45828</v>
      </c>
      <c r="S458">
        <v>3.1</v>
      </c>
      <c r="T458">
        <v>14</v>
      </c>
      <c r="U458" t="s">
        <v>29</v>
      </c>
    </row>
    <row r="459" spans="1:21" x14ac:dyDescent="0.3">
      <c r="A459" t="s">
        <v>519</v>
      </c>
      <c r="B459" t="s">
        <v>70</v>
      </c>
      <c r="C459" t="s">
        <v>81</v>
      </c>
      <c r="D459">
        <v>6</v>
      </c>
      <c r="E459" t="s">
        <v>24</v>
      </c>
      <c r="F459" t="s">
        <v>25</v>
      </c>
      <c r="G459">
        <v>4000</v>
      </c>
      <c r="H459">
        <v>34</v>
      </c>
      <c r="I459">
        <v>68</v>
      </c>
      <c r="J459">
        <v>46</v>
      </c>
      <c r="K459">
        <v>67.599999999999994</v>
      </c>
      <c r="L459" t="s">
        <v>26</v>
      </c>
      <c r="M459" t="s">
        <v>26</v>
      </c>
      <c r="N459" t="s">
        <v>27</v>
      </c>
      <c r="O459" t="s">
        <v>27</v>
      </c>
      <c r="P459" t="s">
        <v>27</v>
      </c>
      <c r="Q459" t="s">
        <v>65</v>
      </c>
      <c r="R459" s="7">
        <v>45853</v>
      </c>
      <c r="S459">
        <v>4.0999999999999996</v>
      </c>
      <c r="T459">
        <v>0</v>
      </c>
      <c r="U459" t="s">
        <v>29</v>
      </c>
    </row>
    <row r="460" spans="1:21" x14ac:dyDescent="0.3">
      <c r="A460" t="s">
        <v>520</v>
      </c>
      <c r="B460" t="s">
        <v>60</v>
      </c>
      <c r="C460" t="s">
        <v>47</v>
      </c>
      <c r="D460">
        <v>6.8</v>
      </c>
      <c r="E460" t="s">
        <v>48</v>
      </c>
      <c r="F460" t="s">
        <v>25</v>
      </c>
      <c r="G460">
        <v>2550</v>
      </c>
      <c r="H460">
        <v>24</v>
      </c>
      <c r="I460">
        <v>96</v>
      </c>
      <c r="J460">
        <v>54</v>
      </c>
      <c r="K460">
        <v>56.2</v>
      </c>
      <c r="L460" t="s">
        <v>26</v>
      </c>
      <c r="M460" t="s">
        <v>26</v>
      </c>
      <c r="N460" t="s">
        <v>27</v>
      </c>
      <c r="O460" t="s">
        <v>27</v>
      </c>
      <c r="P460" t="s">
        <v>27</v>
      </c>
      <c r="Q460" t="s">
        <v>65</v>
      </c>
      <c r="R460" s="7">
        <v>45717</v>
      </c>
      <c r="S460">
        <v>4.3</v>
      </c>
      <c r="T460">
        <v>2</v>
      </c>
      <c r="U460" t="s">
        <v>29</v>
      </c>
    </row>
    <row r="461" spans="1:21" x14ac:dyDescent="0.3">
      <c r="A461" t="s">
        <v>521</v>
      </c>
      <c r="B461" t="s">
        <v>22</v>
      </c>
      <c r="C461" t="s">
        <v>23</v>
      </c>
      <c r="D461">
        <v>5.4</v>
      </c>
      <c r="E461" t="s">
        <v>48</v>
      </c>
      <c r="F461" t="s">
        <v>34</v>
      </c>
      <c r="G461">
        <v>3550</v>
      </c>
      <c r="H461">
        <v>39</v>
      </c>
      <c r="I461">
        <v>156</v>
      </c>
      <c r="J461">
        <v>69</v>
      </c>
      <c r="K461">
        <v>44.2</v>
      </c>
      <c r="L461" t="s">
        <v>26</v>
      </c>
      <c r="M461" t="s">
        <v>27</v>
      </c>
      <c r="N461" t="s">
        <v>26</v>
      </c>
      <c r="O461" t="s">
        <v>26</v>
      </c>
      <c r="P461" t="s">
        <v>26</v>
      </c>
      <c r="Q461" t="s">
        <v>28</v>
      </c>
      <c r="R461" s="7">
        <v>45896</v>
      </c>
      <c r="S461">
        <v>3.9</v>
      </c>
      <c r="T461">
        <v>12</v>
      </c>
      <c r="U461" t="s">
        <v>29</v>
      </c>
    </row>
    <row r="462" spans="1:21" x14ac:dyDescent="0.3">
      <c r="A462" t="s">
        <v>522</v>
      </c>
      <c r="B462" t="s">
        <v>83</v>
      </c>
      <c r="C462" t="s">
        <v>47</v>
      </c>
      <c r="D462">
        <v>4.5999999999999996</v>
      </c>
      <c r="E462" t="s">
        <v>33</v>
      </c>
      <c r="F462" t="s">
        <v>49</v>
      </c>
      <c r="G462">
        <v>5250</v>
      </c>
      <c r="H462">
        <v>20</v>
      </c>
      <c r="I462">
        <v>60</v>
      </c>
      <c r="J462">
        <v>47</v>
      </c>
      <c r="K462">
        <v>78.3</v>
      </c>
      <c r="L462" t="s">
        <v>26</v>
      </c>
      <c r="M462" t="s">
        <v>26</v>
      </c>
      <c r="N462" t="s">
        <v>26</v>
      </c>
      <c r="O462" t="s">
        <v>27</v>
      </c>
      <c r="P462" t="s">
        <v>26</v>
      </c>
      <c r="Q462" t="s">
        <v>28</v>
      </c>
      <c r="R462" s="7">
        <v>45851</v>
      </c>
      <c r="S462">
        <v>3.1</v>
      </c>
      <c r="T462">
        <v>7</v>
      </c>
      <c r="U462" t="s">
        <v>29</v>
      </c>
    </row>
    <row r="463" spans="1:21" x14ac:dyDescent="0.3">
      <c r="A463" t="s">
        <v>523</v>
      </c>
      <c r="B463" t="s">
        <v>62</v>
      </c>
      <c r="C463" t="s">
        <v>64</v>
      </c>
      <c r="D463">
        <v>0.8</v>
      </c>
      <c r="E463" t="s">
        <v>48</v>
      </c>
      <c r="F463" t="s">
        <v>25</v>
      </c>
      <c r="G463">
        <v>2300</v>
      </c>
      <c r="H463">
        <v>28</v>
      </c>
      <c r="I463">
        <v>112</v>
      </c>
      <c r="J463">
        <v>89</v>
      </c>
      <c r="K463">
        <v>79.5</v>
      </c>
      <c r="L463" t="s">
        <v>26</v>
      </c>
      <c r="M463" t="s">
        <v>26</v>
      </c>
      <c r="N463" t="s">
        <v>27</v>
      </c>
      <c r="O463" t="s">
        <v>27</v>
      </c>
      <c r="P463" t="s">
        <v>27</v>
      </c>
      <c r="Q463" t="s">
        <v>65</v>
      </c>
      <c r="R463" s="7">
        <v>45884</v>
      </c>
      <c r="S463">
        <v>3.2</v>
      </c>
      <c r="T463">
        <v>3</v>
      </c>
      <c r="U463" t="s">
        <v>29</v>
      </c>
    </row>
    <row r="464" spans="1:21" x14ac:dyDescent="0.3">
      <c r="A464" t="s">
        <v>524</v>
      </c>
      <c r="B464" t="s">
        <v>67</v>
      </c>
      <c r="C464" t="s">
        <v>23</v>
      </c>
      <c r="D464">
        <v>2.6</v>
      </c>
      <c r="E464" t="s">
        <v>24</v>
      </c>
      <c r="F464" t="s">
        <v>25</v>
      </c>
      <c r="G464">
        <v>7250</v>
      </c>
      <c r="H464">
        <v>30</v>
      </c>
      <c r="I464">
        <v>60</v>
      </c>
      <c r="J464">
        <v>59</v>
      </c>
      <c r="K464">
        <v>98.3</v>
      </c>
      <c r="L464" t="s">
        <v>27</v>
      </c>
      <c r="M464" t="s">
        <v>26</v>
      </c>
      <c r="N464" t="s">
        <v>27</v>
      </c>
      <c r="O464" t="s">
        <v>26</v>
      </c>
      <c r="P464" t="s">
        <v>26</v>
      </c>
      <c r="Q464" t="s">
        <v>28</v>
      </c>
      <c r="R464" s="7">
        <v>45713</v>
      </c>
      <c r="S464">
        <v>3.9</v>
      </c>
      <c r="T464">
        <v>12</v>
      </c>
      <c r="U464" t="s">
        <v>29</v>
      </c>
    </row>
    <row r="465" spans="1:21" x14ac:dyDescent="0.3">
      <c r="A465" t="s">
        <v>525</v>
      </c>
      <c r="B465" t="s">
        <v>67</v>
      </c>
      <c r="C465" t="s">
        <v>44</v>
      </c>
      <c r="D465">
        <v>2.1</v>
      </c>
      <c r="E465" t="s">
        <v>48</v>
      </c>
      <c r="F465" t="s">
        <v>34</v>
      </c>
      <c r="G465">
        <v>3050</v>
      </c>
      <c r="H465">
        <v>37</v>
      </c>
      <c r="I465">
        <v>148</v>
      </c>
      <c r="J465">
        <v>67</v>
      </c>
      <c r="K465">
        <v>45.3</v>
      </c>
      <c r="L465" t="s">
        <v>26</v>
      </c>
      <c r="M465" t="s">
        <v>26</v>
      </c>
      <c r="N465" t="s">
        <v>26</v>
      </c>
      <c r="O465" t="s">
        <v>26</v>
      </c>
      <c r="P465" t="s">
        <v>27</v>
      </c>
      <c r="Q465" t="s">
        <v>28</v>
      </c>
      <c r="R465" s="7">
        <v>45758</v>
      </c>
      <c r="S465">
        <v>3.7</v>
      </c>
      <c r="T465">
        <v>10</v>
      </c>
      <c r="U465" t="s">
        <v>29</v>
      </c>
    </row>
    <row r="466" spans="1:21" x14ac:dyDescent="0.3">
      <c r="A466" t="s">
        <v>526</v>
      </c>
      <c r="B466" t="s">
        <v>75</v>
      </c>
      <c r="C466" t="s">
        <v>64</v>
      </c>
      <c r="D466">
        <v>6.6</v>
      </c>
      <c r="E466" t="s">
        <v>33</v>
      </c>
      <c r="F466" t="s">
        <v>49</v>
      </c>
      <c r="G466">
        <v>5250</v>
      </c>
      <c r="H466">
        <v>31</v>
      </c>
      <c r="I466">
        <v>93</v>
      </c>
      <c r="J466">
        <v>91</v>
      </c>
      <c r="K466">
        <v>97.8</v>
      </c>
      <c r="L466" t="s">
        <v>26</v>
      </c>
      <c r="M466" t="s">
        <v>26</v>
      </c>
      <c r="N466" t="s">
        <v>27</v>
      </c>
      <c r="O466" t="s">
        <v>26</v>
      </c>
      <c r="P466" t="s">
        <v>26</v>
      </c>
      <c r="Q466" t="s">
        <v>28</v>
      </c>
      <c r="R466" s="7">
        <v>46107</v>
      </c>
      <c r="S466">
        <v>4.4000000000000004</v>
      </c>
      <c r="T466">
        <v>13</v>
      </c>
      <c r="U466" t="s">
        <v>29</v>
      </c>
    </row>
    <row r="467" spans="1:21" x14ac:dyDescent="0.3">
      <c r="A467" t="s">
        <v>527</v>
      </c>
      <c r="B467" t="s">
        <v>75</v>
      </c>
      <c r="C467" t="s">
        <v>64</v>
      </c>
      <c r="D467">
        <v>0.6</v>
      </c>
      <c r="E467" t="s">
        <v>24</v>
      </c>
      <c r="F467" t="s">
        <v>49</v>
      </c>
      <c r="G467">
        <v>3750</v>
      </c>
      <c r="H467">
        <v>22</v>
      </c>
      <c r="I467">
        <v>44</v>
      </c>
      <c r="J467">
        <v>20</v>
      </c>
      <c r="K467">
        <v>45.5</v>
      </c>
      <c r="L467" t="s">
        <v>27</v>
      </c>
      <c r="M467" t="s">
        <v>27</v>
      </c>
      <c r="N467" t="s">
        <v>26</v>
      </c>
      <c r="O467" t="s">
        <v>27</v>
      </c>
      <c r="P467" t="s">
        <v>26</v>
      </c>
      <c r="Q467" t="s">
        <v>65</v>
      </c>
      <c r="R467" s="7">
        <v>45703</v>
      </c>
      <c r="S467">
        <v>3.7</v>
      </c>
      <c r="T467">
        <v>3</v>
      </c>
      <c r="U467" t="s">
        <v>29</v>
      </c>
    </row>
    <row r="468" spans="1:21" x14ac:dyDescent="0.3">
      <c r="A468" t="s">
        <v>528</v>
      </c>
      <c r="B468" t="s">
        <v>67</v>
      </c>
      <c r="C468" t="s">
        <v>64</v>
      </c>
      <c r="D468">
        <v>2.8</v>
      </c>
      <c r="E468" t="s">
        <v>48</v>
      </c>
      <c r="F468" t="s">
        <v>49</v>
      </c>
      <c r="G468">
        <v>3550</v>
      </c>
      <c r="H468">
        <v>39</v>
      </c>
      <c r="I468">
        <v>156</v>
      </c>
      <c r="J468">
        <v>68</v>
      </c>
      <c r="K468">
        <v>43.6</v>
      </c>
      <c r="L468" t="s">
        <v>26</v>
      </c>
      <c r="M468" t="s">
        <v>26</v>
      </c>
      <c r="N468" t="s">
        <v>26</v>
      </c>
      <c r="O468" t="s">
        <v>26</v>
      </c>
      <c r="P468" t="s">
        <v>26</v>
      </c>
      <c r="Q468" t="s">
        <v>35</v>
      </c>
      <c r="R468" s="7">
        <v>45818</v>
      </c>
      <c r="S468">
        <v>4.5</v>
      </c>
      <c r="T468">
        <v>5</v>
      </c>
      <c r="U468" t="s">
        <v>29</v>
      </c>
    </row>
    <row r="469" spans="1:21" x14ac:dyDescent="0.3">
      <c r="A469" t="s">
        <v>529</v>
      </c>
      <c r="B469" t="s">
        <v>62</v>
      </c>
      <c r="C469" t="s">
        <v>47</v>
      </c>
      <c r="D469">
        <v>4.5</v>
      </c>
      <c r="E469" t="s">
        <v>54</v>
      </c>
      <c r="F469" t="s">
        <v>49</v>
      </c>
      <c r="G469">
        <v>9500</v>
      </c>
      <c r="H469">
        <v>44</v>
      </c>
      <c r="I469">
        <v>44</v>
      </c>
      <c r="J469">
        <v>20</v>
      </c>
      <c r="K469">
        <v>45.5</v>
      </c>
      <c r="L469" t="s">
        <v>26</v>
      </c>
      <c r="M469" t="s">
        <v>26</v>
      </c>
      <c r="N469" t="s">
        <v>26</v>
      </c>
      <c r="O469" t="s">
        <v>26</v>
      </c>
      <c r="P469" t="s">
        <v>26</v>
      </c>
      <c r="Q469" t="s">
        <v>35</v>
      </c>
      <c r="R469" s="7">
        <v>46093</v>
      </c>
      <c r="S469">
        <v>3.2</v>
      </c>
      <c r="T469">
        <v>0</v>
      </c>
      <c r="U469" t="s">
        <v>29</v>
      </c>
    </row>
    <row r="470" spans="1:21" x14ac:dyDescent="0.3">
      <c r="A470" t="s">
        <v>530</v>
      </c>
      <c r="B470" t="s">
        <v>22</v>
      </c>
      <c r="C470" t="s">
        <v>32</v>
      </c>
      <c r="D470">
        <v>2.9</v>
      </c>
      <c r="E470" t="s">
        <v>54</v>
      </c>
      <c r="F470" t="s">
        <v>34</v>
      </c>
      <c r="G470">
        <v>12000</v>
      </c>
      <c r="H470">
        <v>28</v>
      </c>
      <c r="I470">
        <v>28</v>
      </c>
      <c r="J470">
        <v>13</v>
      </c>
      <c r="K470">
        <v>46.4</v>
      </c>
      <c r="L470" t="s">
        <v>27</v>
      </c>
      <c r="M470" t="s">
        <v>27</v>
      </c>
      <c r="N470" t="s">
        <v>27</v>
      </c>
      <c r="O470" t="s">
        <v>26</v>
      </c>
      <c r="P470" t="s">
        <v>27</v>
      </c>
      <c r="Q470" t="s">
        <v>65</v>
      </c>
      <c r="R470" s="7">
        <v>45696</v>
      </c>
      <c r="S470">
        <v>4</v>
      </c>
      <c r="T470">
        <v>8</v>
      </c>
      <c r="U470" t="s">
        <v>29</v>
      </c>
    </row>
    <row r="471" spans="1:21" x14ac:dyDescent="0.3">
      <c r="A471" t="s">
        <v>531</v>
      </c>
      <c r="B471" t="s">
        <v>60</v>
      </c>
      <c r="C471" t="s">
        <v>64</v>
      </c>
      <c r="D471">
        <v>2.6</v>
      </c>
      <c r="E471" t="s">
        <v>24</v>
      </c>
      <c r="F471" t="s">
        <v>49</v>
      </c>
      <c r="G471">
        <v>5000</v>
      </c>
      <c r="H471">
        <v>11</v>
      </c>
      <c r="I471">
        <v>22</v>
      </c>
      <c r="J471">
        <v>16</v>
      </c>
      <c r="K471">
        <v>72.7</v>
      </c>
      <c r="L471" t="s">
        <v>27</v>
      </c>
      <c r="M471" t="s">
        <v>26</v>
      </c>
      <c r="N471" t="s">
        <v>27</v>
      </c>
      <c r="O471" t="s">
        <v>26</v>
      </c>
      <c r="P471" t="s">
        <v>26</v>
      </c>
      <c r="Q471" t="s">
        <v>28</v>
      </c>
      <c r="R471" s="7">
        <v>45997</v>
      </c>
      <c r="S471">
        <v>4</v>
      </c>
      <c r="T471">
        <v>12</v>
      </c>
      <c r="U471" t="s">
        <v>29</v>
      </c>
    </row>
    <row r="472" spans="1:21" x14ac:dyDescent="0.3">
      <c r="A472" t="s">
        <v>532</v>
      </c>
      <c r="B472" t="s">
        <v>70</v>
      </c>
      <c r="C472" t="s">
        <v>47</v>
      </c>
      <c r="D472">
        <v>7.2</v>
      </c>
      <c r="E472" t="s">
        <v>48</v>
      </c>
      <c r="F472" t="s">
        <v>49</v>
      </c>
      <c r="G472">
        <v>2050</v>
      </c>
      <c r="H472">
        <v>9</v>
      </c>
      <c r="I472">
        <v>36</v>
      </c>
      <c r="J472">
        <v>18</v>
      </c>
      <c r="K472">
        <v>50</v>
      </c>
      <c r="L472" t="s">
        <v>26</v>
      </c>
      <c r="M472" t="s">
        <v>26</v>
      </c>
      <c r="N472" t="s">
        <v>26</v>
      </c>
      <c r="O472" t="s">
        <v>27</v>
      </c>
      <c r="P472" t="s">
        <v>27</v>
      </c>
      <c r="Q472" t="s">
        <v>28</v>
      </c>
      <c r="R472" s="7">
        <v>45833</v>
      </c>
      <c r="S472">
        <v>3.4</v>
      </c>
      <c r="T472">
        <v>9</v>
      </c>
      <c r="U472" t="s">
        <v>29</v>
      </c>
    </row>
    <row r="473" spans="1:21" x14ac:dyDescent="0.3">
      <c r="A473" t="s">
        <v>533</v>
      </c>
      <c r="B473" t="s">
        <v>60</v>
      </c>
      <c r="C473" t="s">
        <v>44</v>
      </c>
      <c r="D473">
        <v>2.8</v>
      </c>
      <c r="E473" t="s">
        <v>54</v>
      </c>
      <c r="F473" t="s">
        <v>25</v>
      </c>
      <c r="G473">
        <v>12000</v>
      </c>
      <c r="H473">
        <v>31</v>
      </c>
      <c r="I473">
        <v>31</v>
      </c>
      <c r="J473">
        <v>26</v>
      </c>
      <c r="K473">
        <v>83.9</v>
      </c>
      <c r="L473" t="s">
        <v>27</v>
      </c>
      <c r="M473" t="s">
        <v>26</v>
      </c>
      <c r="N473" t="s">
        <v>26</v>
      </c>
      <c r="O473" t="s">
        <v>27</v>
      </c>
      <c r="P473" t="s">
        <v>27</v>
      </c>
      <c r="Q473" t="s">
        <v>65</v>
      </c>
      <c r="R473" s="7">
        <v>45871</v>
      </c>
      <c r="S473">
        <v>4</v>
      </c>
      <c r="T473">
        <v>18</v>
      </c>
      <c r="U473" t="s">
        <v>29</v>
      </c>
    </row>
    <row r="474" spans="1:21" x14ac:dyDescent="0.3">
      <c r="A474" t="s">
        <v>534</v>
      </c>
      <c r="B474" t="s">
        <v>83</v>
      </c>
      <c r="C474" t="s">
        <v>38</v>
      </c>
      <c r="D474">
        <v>5.7</v>
      </c>
      <c r="E474" t="s">
        <v>33</v>
      </c>
      <c r="F474" t="s">
        <v>49</v>
      </c>
      <c r="G474">
        <v>4750</v>
      </c>
      <c r="H474">
        <v>19</v>
      </c>
      <c r="I474">
        <v>57</v>
      </c>
      <c r="J474">
        <v>46</v>
      </c>
      <c r="K474">
        <v>80.7</v>
      </c>
      <c r="L474" t="s">
        <v>26</v>
      </c>
      <c r="M474" t="s">
        <v>27</v>
      </c>
      <c r="N474" t="s">
        <v>27</v>
      </c>
      <c r="O474" t="s">
        <v>26</v>
      </c>
      <c r="P474" t="s">
        <v>26</v>
      </c>
      <c r="Q474" t="s">
        <v>28</v>
      </c>
      <c r="R474" s="7">
        <v>46103</v>
      </c>
      <c r="S474">
        <v>3.5</v>
      </c>
      <c r="T474">
        <v>7</v>
      </c>
      <c r="U474" t="s">
        <v>29</v>
      </c>
    </row>
    <row r="475" spans="1:21" x14ac:dyDescent="0.3">
      <c r="A475" t="s">
        <v>535</v>
      </c>
      <c r="B475" t="s">
        <v>53</v>
      </c>
      <c r="C475" t="s">
        <v>38</v>
      </c>
      <c r="D475">
        <v>2.2999999999999998</v>
      </c>
      <c r="E475" t="s">
        <v>48</v>
      </c>
      <c r="F475" t="s">
        <v>34</v>
      </c>
      <c r="G475">
        <v>2050</v>
      </c>
      <c r="H475">
        <v>38</v>
      </c>
      <c r="I475">
        <v>152</v>
      </c>
      <c r="J475">
        <v>91</v>
      </c>
      <c r="K475">
        <v>59.9</v>
      </c>
      <c r="L475" t="s">
        <v>27</v>
      </c>
      <c r="M475" t="s">
        <v>26</v>
      </c>
      <c r="N475" t="s">
        <v>26</v>
      </c>
      <c r="O475" t="s">
        <v>26</v>
      </c>
      <c r="P475" t="s">
        <v>26</v>
      </c>
      <c r="Q475" t="s">
        <v>28</v>
      </c>
      <c r="R475" s="7">
        <v>45819</v>
      </c>
      <c r="S475">
        <v>3.3</v>
      </c>
      <c r="T475">
        <v>18</v>
      </c>
      <c r="U475" t="s">
        <v>29</v>
      </c>
    </row>
    <row r="476" spans="1:21" x14ac:dyDescent="0.3">
      <c r="A476" t="s">
        <v>536</v>
      </c>
      <c r="B476" t="s">
        <v>72</v>
      </c>
      <c r="C476" t="s">
        <v>38</v>
      </c>
      <c r="D476">
        <v>6.9</v>
      </c>
      <c r="E476" t="s">
        <v>54</v>
      </c>
      <c r="F476" t="s">
        <v>49</v>
      </c>
      <c r="G476">
        <v>9500</v>
      </c>
      <c r="H476">
        <v>35</v>
      </c>
      <c r="I476">
        <v>35</v>
      </c>
      <c r="J476">
        <v>25</v>
      </c>
      <c r="K476">
        <v>71.400000000000006</v>
      </c>
      <c r="L476" t="s">
        <v>26</v>
      </c>
      <c r="M476" t="s">
        <v>26</v>
      </c>
      <c r="N476" t="s">
        <v>26</v>
      </c>
      <c r="O476" t="s">
        <v>27</v>
      </c>
      <c r="P476" t="s">
        <v>26</v>
      </c>
      <c r="Q476" t="s">
        <v>28</v>
      </c>
      <c r="R476" s="7">
        <v>45763</v>
      </c>
      <c r="S476">
        <v>4.9000000000000004</v>
      </c>
      <c r="T476">
        <v>16</v>
      </c>
      <c r="U476" t="s">
        <v>29</v>
      </c>
    </row>
    <row r="477" spans="1:21" x14ac:dyDescent="0.3">
      <c r="A477" t="s">
        <v>537</v>
      </c>
      <c r="B477" t="s">
        <v>70</v>
      </c>
      <c r="C477" t="s">
        <v>44</v>
      </c>
      <c r="D477">
        <v>6.4</v>
      </c>
      <c r="E477" t="s">
        <v>54</v>
      </c>
      <c r="F477" t="s">
        <v>34</v>
      </c>
      <c r="G477">
        <v>6000</v>
      </c>
      <c r="H477">
        <v>34</v>
      </c>
      <c r="I477">
        <v>34</v>
      </c>
      <c r="J477">
        <v>33</v>
      </c>
      <c r="K477">
        <v>97.1</v>
      </c>
      <c r="L477" t="s">
        <v>27</v>
      </c>
      <c r="M477" t="s">
        <v>26</v>
      </c>
      <c r="N477" t="s">
        <v>27</v>
      </c>
      <c r="O477" t="s">
        <v>26</v>
      </c>
      <c r="P477" t="s">
        <v>27</v>
      </c>
      <c r="Q477" t="s">
        <v>65</v>
      </c>
      <c r="R477" s="7">
        <v>45971</v>
      </c>
      <c r="S477">
        <v>4.0999999999999996</v>
      </c>
      <c r="T477">
        <v>10</v>
      </c>
      <c r="U477" t="s">
        <v>29</v>
      </c>
    </row>
    <row r="478" spans="1:21" x14ac:dyDescent="0.3">
      <c r="A478" t="s">
        <v>538</v>
      </c>
      <c r="B478" t="s">
        <v>31</v>
      </c>
      <c r="C478" t="s">
        <v>44</v>
      </c>
      <c r="D478">
        <v>0.8</v>
      </c>
      <c r="E478" t="s">
        <v>33</v>
      </c>
      <c r="F478" t="s">
        <v>49</v>
      </c>
      <c r="G478">
        <v>5000</v>
      </c>
      <c r="H478">
        <v>14</v>
      </c>
      <c r="I478">
        <v>42</v>
      </c>
      <c r="J478">
        <v>27</v>
      </c>
      <c r="K478">
        <v>64.3</v>
      </c>
      <c r="L478" t="s">
        <v>26</v>
      </c>
      <c r="M478" t="s">
        <v>26</v>
      </c>
      <c r="N478" t="s">
        <v>26</v>
      </c>
      <c r="O478" t="s">
        <v>26</v>
      </c>
      <c r="P478" t="s">
        <v>26</v>
      </c>
      <c r="Q478" t="s">
        <v>35</v>
      </c>
      <c r="R478" s="7">
        <v>46214</v>
      </c>
      <c r="S478">
        <v>3.7</v>
      </c>
      <c r="T478">
        <v>5</v>
      </c>
      <c r="U478" t="s">
        <v>29</v>
      </c>
    </row>
    <row r="479" spans="1:21" x14ac:dyDescent="0.3">
      <c r="A479" t="s">
        <v>539</v>
      </c>
      <c r="B479" t="s">
        <v>60</v>
      </c>
      <c r="C479" t="s">
        <v>64</v>
      </c>
      <c r="D479">
        <v>2.4</v>
      </c>
      <c r="E479" t="s">
        <v>33</v>
      </c>
      <c r="F479" t="s">
        <v>25</v>
      </c>
      <c r="G479">
        <v>5250</v>
      </c>
      <c r="H479">
        <v>33</v>
      </c>
      <c r="I479">
        <v>99</v>
      </c>
      <c r="J479">
        <v>72</v>
      </c>
      <c r="K479">
        <v>72.7</v>
      </c>
      <c r="L479" t="s">
        <v>26</v>
      </c>
      <c r="M479" t="s">
        <v>26</v>
      </c>
      <c r="N479" t="s">
        <v>26</v>
      </c>
      <c r="O479" t="s">
        <v>26</v>
      </c>
      <c r="P479" t="s">
        <v>26</v>
      </c>
      <c r="Q479" t="s">
        <v>35</v>
      </c>
      <c r="R479" s="7">
        <v>45756</v>
      </c>
      <c r="S479">
        <v>3.5</v>
      </c>
      <c r="T479">
        <v>0</v>
      </c>
      <c r="U479" t="s">
        <v>29</v>
      </c>
    </row>
    <row r="480" spans="1:21" x14ac:dyDescent="0.3">
      <c r="A480" t="s">
        <v>540</v>
      </c>
      <c r="B480" t="s">
        <v>31</v>
      </c>
      <c r="C480" t="s">
        <v>23</v>
      </c>
      <c r="D480">
        <v>1.7</v>
      </c>
      <c r="E480" t="s">
        <v>24</v>
      </c>
      <c r="F480" t="s">
        <v>34</v>
      </c>
      <c r="G480">
        <v>5250</v>
      </c>
      <c r="H480">
        <v>35</v>
      </c>
      <c r="I480">
        <v>70</v>
      </c>
      <c r="J480">
        <v>64</v>
      </c>
      <c r="K480">
        <v>91.4</v>
      </c>
      <c r="L480" t="s">
        <v>27</v>
      </c>
      <c r="M480" t="s">
        <v>26</v>
      </c>
      <c r="N480" t="s">
        <v>26</v>
      </c>
      <c r="O480" t="s">
        <v>26</v>
      </c>
      <c r="P480" t="s">
        <v>26</v>
      </c>
      <c r="Q480" t="s">
        <v>28</v>
      </c>
      <c r="R480" s="7">
        <v>46218</v>
      </c>
      <c r="S480">
        <v>3.8</v>
      </c>
      <c r="T480">
        <v>15</v>
      </c>
      <c r="U480" t="s">
        <v>29</v>
      </c>
    </row>
    <row r="481" spans="1:21" x14ac:dyDescent="0.3">
      <c r="A481" t="s">
        <v>541</v>
      </c>
      <c r="B481" t="s">
        <v>85</v>
      </c>
      <c r="C481" t="s">
        <v>64</v>
      </c>
      <c r="D481">
        <v>3.6</v>
      </c>
      <c r="E481" t="s">
        <v>48</v>
      </c>
      <c r="F481" t="s">
        <v>49</v>
      </c>
      <c r="G481">
        <v>4050</v>
      </c>
      <c r="H481">
        <v>23</v>
      </c>
      <c r="I481">
        <v>92</v>
      </c>
      <c r="J481">
        <v>44</v>
      </c>
      <c r="K481">
        <v>47.8</v>
      </c>
      <c r="L481" t="s">
        <v>26</v>
      </c>
      <c r="M481" t="s">
        <v>26</v>
      </c>
      <c r="N481" t="s">
        <v>26</v>
      </c>
      <c r="O481" t="s">
        <v>27</v>
      </c>
      <c r="P481" t="s">
        <v>26</v>
      </c>
      <c r="Q481" t="s">
        <v>28</v>
      </c>
      <c r="R481" s="7">
        <v>45968</v>
      </c>
      <c r="S481">
        <v>4.0999999999999996</v>
      </c>
      <c r="T481">
        <v>13</v>
      </c>
      <c r="U481" t="s">
        <v>29</v>
      </c>
    </row>
    <row r="482" spans="1:21" x14ac:dyDescent="0.3">
      <c r="A482" t="s">
        <v>542</v>
      </c>
      <c r="B482" t="s">
        <v>150</v>
      </c>
      <c r="C482" t="s">
        <v>41</v>
      </c>
      <c r="D482">
        <v>0.5</v>
      </c>
      <c r="E482" t="s">
        <v>48</v>
      </c>
      <c r="F482" t="s">
        <v>25</v>
      </c>
      <c r="G482">
        <v>3550</v>
      </c>
      <c r="H482">
        <v>40</v>
      </c>
      <c r="I482">
        <v>160</v>
      </c>
      <c r="J482">
        <v>131</v>
      </c>
      <c r="K482">
        <v>81.900000000000006</v>
      </c>
      <c r="L482" t="s">
        <v>26</v>
      </c>
      <c r="M482" t="s">
        <v>27</v>
      </c>
      <c r="N482" t="s">
        <v>27</v>
      </c>
      <c r="O482" t="s">
        <v>26</v>
      </c>
      <c r="P482" t="s">
        <v>26</v>
      </c>
      <c r="Q482" t="s">
        <v>28</v>
      </c>
      <c r="R482" s="7">
        <v>46166</v>
      </c>
      <c r="S482">
        <v>3.9</v>
      </c>
      <c r="T482">
        <v>18</v>
      </c>
      <c r="U482" t="s">
        <v>29</v>
      </c>
    </row>
    <row r="483" spans="1:21" x14ac:dyDescent="0.3">
      <c r="A483" t="s">
        <v>543</v>
      </c>
      <c r="B483" t="s">
        <v>83</v>
      </c>
      <c r="C483" t="s">
        <v>64</v>
      </c>
      <c r="D483">
        <v>1.1000000000000001</v>
      </c>
      <c r="E483" t="s">
        <v>33</v>
      </c>
      <c r="F483" t="s">
        <v>25</v>
      </c>
      <c r="G483">
        <v>4250</v>
      </c>
      <c r="H483">
        <v>35</v>
      </c>
      <c r="I483">
        <v>105</v>
      </c>
      <c r="J483">
        <v>38</v>
      </c>
      <c r="K483">
        <v>36.200000000000003</v>
      </c>
      <c r="L483" t="s">
        <v>26</v>
      </c>
      <c r="M483" t="s">
        <v>27</v>
      </c>
      <c r="N483" t="s">
        <v>26</v>
      </c>
      <c r="O483" t="s">
        <v>26</v>
      </c>
      <c r="P483" t="s">
        <v>26</v>
      </c>
      <c r="Q483" t="s">
        <v>28</v>
      </c>
      <c r="R483" s="7">
        <v>45832</v>
      </c>
      <c r="S483">
        <v>4.2</v>
      </c>
      <c r="T483">
        <v>7</v>
      </c>
      <c r="U483" t="s">
        <v>29</v>
      </c>
    </row>
    <row r="484" spans="1:21" x14ac:dyDescent="0.3">
      <c r="A484" t="s">
        <v>544</v>
      </c>
      <c r="B484" t="s">
        <v>40</v>
      </c>
      <c r="C484" t="s">
        <v>81</v>
      </c>
      <c r="D484">
        <v>6.9</v>
      </c>
      <c r="E484" t="s">
        <v>48</v>
      </c>
      <c r="F484" t="s">
        <v>34</v>
      </c>
      <c r="G484">
        <v>2300</v>
      </c>
      <c r="H484">
        <v>26</v>
      </c>
      <c r="I484">
        <v>104</v>
      </c>
      <c r="J484">
        <v>85</v>
      </c>
      <c r="K484">
        <v>81.7</v>
      </c>
      <c r="L484" t="s">
        <v>26</v>
      </c>
      <c r="M484" t="s">
        <v>26</v>
      </c>
      <c r="N484" t="s">
        <v>26</v>
      </c>
      <c r="O484" t="s">
        <v>26</v>
      </c>
      <c r="P484" t="s">
        <v>27</v>
      </c>
      <c r="Q484" t="s">
        <v>28</v>
      </c>
      <c r="R484" s="7">
        <v>46093</v>
      </c>
      <c r="S484">
        <v>3.9</v>
      </c>
      <c r="T484">
        <v>2</v>
      </c>
      <c r="U484" t="s">
        <v>29</v>
      </c>
    </row>
    <row r="485" spans="1:21" x14ac:dyDescent="0.3">
      <c r="A485" t="s">
        <v>545</v>
      </c>
      <c r="B485" t="s">
        <v>70</v>
      </c>
      <c r="C485" t="s">
        <v>64</v>
      </c>
      <c r="D485">
        <v>0.9</v>
      </c>
      <c r="E485" t="s">
        <v>48</v>
      </c>
      <c r="F485" t="s">
        <v>34</v>
      </c>
      <c r="G485">
        <v>3550</v>
      </c>
      <c r="H485">
        <v>27</v>
      </c>
      <c r="I485">
        <v>108</v>
      </c>
      <c r="J485">
        <v>67</v>
      </c>
      <c r="K485">
        <v>62</v>
      </c>
      <c r="L485" t="s">
        <v>26</v>
      </c>
      <c r="M485" t="s">
        <v>26</v>
      </c>
      <c r="N485" t="s">
        <v>26</v>
      </c>
      <c r="O485" t="s">
        <v>26</v>
      </c>
      <c r="P485" t="s">
        <v>26</v>
      </c>
      <c r="Q485" t="s">
        <v>35</v>
      </c>
      <c r="R485" s="7">
        <v>45881</v>
      </c>
      <c r="S485">
        <v>3.7</v>
      </c>
      <c r="T485">
        <v>5</v>
      </c>
      <c r="U485" t="s">
        <v>29</v>
      </c>
    </row>
    <row r="486" spans="1:21" x14ac:dyDescent="0.3">
      <c r="A486" t="s">
        <v>546</v>
      </c>
      <c r="B486" t="s">
        <v>53</v>
      </c>
      <c r="C486" t="s">
        <v>23</v>
      </c>
      <c r="D486">
        <v>6.1</v>
      </c>
      <c r="E486" t="s">
        <v>33</v>
      </c>
      <c r="F486" t="s">
        <v>25</v>
      </c>
      <c r="G486">
        <v>4000</v>
      </c>
      <c r="H486">
        <v>15</v>
      </c>
      <c r="I486">
        <v>45</v>
      </c>
      <c r="J486">
        <v>34</v>
      </c>
      <c r="K486">
        <v>75.599999999999994</v>
      </c>
      <c r="L486" t="s">
        <v>26</v>
      </c>
      <c r="M486" t="s">
        <v>26</v>
      </c>
      <c r="N486" t="s">
        <v>26</v>
      </c>
      <c r="O486" t="s">
        <v>26</v>
      </c>
      <c r="P486" t="s">
        <v>26</v>
      </c>
      <c r="Q486" t="s">
        <v>35</v>
      </c>
      <c r="R486" s="7">
        <v>45899</v>
      </c>
      <c r="S486">
        <v>4.0999999999999996</v>
      </c>
      <c r="T486">
        <v>11</v>
      </c>
      <c r="U486" t="s">
        <v>29</v>
      </c>
    </row>
    <row r="487" spans="1:21" x14ac:dyDescent="0.3">
      <c r="A487" t="s">
        <v>547</v>
      </c>
      <c r="B487" t="s">
        <v>78</v>
      </c>
      <c r="C487" t="s">
        <v>44</v>
      </c>
      <c r="D487">
        <v>6.4</v>
      </c>
      <c r="E487" t="s">
        <v>54</v>
      </c>
      <c r="F487" t="s">
        <v>34</v>
      </c>
      <c r="G487">
        <v>11000</v>
      </c>
      <c r="H487">
        <v>11</v>
      </c>
      <c r="I487">
        <v>11</v>
      </c>
      <c r="J487">
        <v>10</v>
      </c>
      <c r="K487">
        <v>90.9</v>
      </c>
      <c r="L487" t="s">
        <v>26</v>
      </c>
      <c r="M487" t="s">
        <v>26</v>
      </c>
      <c r="N487" t="s">
        <v>27</v>
      </c>
      <c r="O487" t="s">
        <v>26</v>
      </c>
      <c r="P487" t="s">
        <v>26</v>
      </c>
      <c r="Q487" t="s">
        <v>28</v>
      </c>
      <c r="R487" s="7">
        <v>46135</v>
      </c>
      <c r="S487">
        <v>3.1</v>
      </c>
      <c r="T487">
        <v>16</v>
      </c>
      <c r="U487" t="s">
        <v>29</v>
      </c>
    </row>
    <row r="488" spans="1:21" x14ac:dyDescent="0.3">
      <c r="A488" t="s">
        <v>548</v>
      </c>
      <c r="B488" t="s">
        <v>70</v>
      </c>
      <c r="C488" t="s">
        <v>38</v>
      </c>
      <c r="D488">
        <v>6.6</v>
      </c>
      <c r="E488" t="s">
        <v>33</v>
      </c>
      <c r="F488" t="s">
        <v>49</v>
      </c>
      <c r="G488">
        <v>3000</v>
      </c>
      <c r="H488">
        <v>26</v>
      </c>
      <c r="I488">
        <v>78</v>
      </c>
      <c r="J488">
        <v>72</v>
      </c>
      <c r="K488">
        <v>92.3</v>
      </c>
      <c r="L488" t="s">
        <v>26</v>
      </c>
      <c r="M488" t="s">
        <v>26</v>
      </c>
      <c r="N488" t="s">
        <v>26</v>
      </c>
      <c r="O488" t="s">
        <v>27</v>
      </c>
      <c r="P488" t="s">
        <v>26</v>
      </c>
      <c r="Q488" t="s">
        <v>28</v>
      </c>
      <c r="R488" s="7">
        <v>46119</v>
      </c>
      <c r="S488">
        <v>4.3</v>
      </c>
      <c r="T488">
        <v>4</v>
      </c>
      <c r="U488" t="s">
        <v>29</v>
      </c>
    </row>
    <row r="489" spans="1:21" x14ac:dyDescent="0.3">
      <c r="A489" t="s">
        <v>549</v>
      </c>
      <c r="B489" t="s">
        <v>56</v>
      </c>
      <c r="C489" t="s">
        <v>47</v>
      </c>
      <c r="D489">
        <v>6.3</v>
      </c>
      <c r="E489" t="s">
        <v>48</v>
      </c>
      <c r="F489" t="s">
        <v>34</v>
      </c>
      <c r="G489">
        <v>3050</v>
      </c>
      <c r="H489">
        <v>26</v>
      </c>
      <c r="I489">
        <v>104</v>
      </c>
      <c r="J489">
        <v>100</v>
      </c>
      <c r="K489">
        <v>96.2</v>
      </c>
      <c r="L489" t="s">
        <v>27</v>
      </c>
      <c r="M489" t="s">
        <v>26</v>
      </c>
      <c r="N489" t="s">
        <v>26</v>
      </c>
      <c r="O489" t="s">
        <v>26</v>
      </c>
      <c r="P489" t="s">
        <v>26</v>
      </c>
      <c r="Q489" t="s">
        <v>28</v>
      </c>
      <c r="R489" s="7">
        <v>45842</v>
      </c>
      <c r="S489">
        <v>4.3</v>
      </c>
      <c r="T489">
        <v>7</v>
      </c>
      <c r="U489" t="s">
        <v>29</v>
      </c>
    </row>
    <row r="490" spans="1:21" x14ac:dyDescent="0.3">
      <c r="A490" t="s">
        <v>550</v>
      </c>
      <c r="B490" t="s">
        <v>53</v>
      </c>
      <c r="C490" t="s">
        <v>32</v>
      </c>
      <c r="D490">
        <v>5.9</v>
      </c>
      <c r="E490" t="s">
        <v>24</v>
      </c>
      <c r="F490" t="s">
        <v>49</v>
      </c>
      <c r="G490">
        <v>6750</v>
      </c>
      <c r="H490">
        <v>34</v>
      </c>
      <c r="I490">
        <v>68</v>
      </c>
      <c r="J490">
        <v>49</v>
      </c>
      <c r="K490">
        <v>72.099999999999994</v>
      </c>
      <c r="L490" t="s">
        <v>26</v>
      </c>
      <c r="M490" t="s">
        <v>26</v>
      </c>
      <c r="N490" t="s">
        <v>26</v>
      </c>
      <c r="O490" t="s">
        <v>26</v>
      </c>
      <c r="P490" t="s">
        <v>26</v>
      </c>
      <c r="Q490" t="s">
        <v>35</v>
      </c>
      <c r="R490" s="7">
        <v>46136</v>
      </c>
      <c r="S490">
        <v>4.2</v>
      </c>
      <c r="T490">
        <v>16</v>
      </c>
      <c r="U490" t="s">
        <v>29</v>
      </c>
    </row>
    <row r="491" spans="1:21" x14ac:dyDescent="0.3">
      <c r="A491" t="s">
        <v>551</v>
      </c>
      <c r="B491" t="s">
        <v>37</v>
      </c>
      <c r="C491" t="s">
        <v>44</v>
      </c>
      <c r="D491">
        <v>3.4</v>
      </c>
      <c r="E491" t="s">
        <v>48</v>
      </c>
      <c r="F491" t="s">
        <v>34</v>
      </c>
      <c r="G491">
        <v>1800</v>
      </c>
      <c r="H491">
        <v>17</v>
      </c>
      <c r="I491">
        <v>68</v>
      </c>
      <c r="J491">
        <v>59</v>
      </c>
      <c r="K491">
        <v>86.8</v>
      </c>
      <c r="L491" t="s">
        <v>26</v>
      </c>
      <c r="M491" t="s">
        <v>26</v>
      </c>
      <c r="N491" t="s">
        <v>26</v>
      </c>
      <c r="O491" t="s">
        <v>26</v>
      </c>
      <c r="P491" t="s">
        <v>27</v>
      </c>
      <c r="Q491" t="s">
        <v>28</v>
      </c>
      <c r="R491" s="7">
        <v>45726</v>
      </c>
      <c r="S491">
        <v>3.9</v>
      </c>
      <c r="T491">
        <v>11</v>
      </c>
      <c r="U491" t="s">
        <v>29</v>
      </c>
    </row>
    <row r="492" spans="1:21" x14ac:dyDescent="0.3">
      <c r="A492" t="s">
        <v>552</v>
      </c>
      <c r="B492" t="s">
        <v>78</v>
      </c>
      <c r="C492" t="s">
        <v>44</v>
      </c>
      <c r="D492">
        <v>5.3</v>
      </c>
      <c r="E492" t="s">
        <v>48</v>
      </c>
      <c r="F492" t="s">
        <v>25</v>
      </c>
      <c r="G492">
        <v>4300</v>
      </c>
      <c r="H492">
        <v>21</v>
      </c>
      <c r="I492">
        <v>84</v>
      </c>
      <c r="J492">
        <v>63</v>
      </c>
      <c r="K492">
        <v>75</v>
      </c>
      <c r="L492" t="s">
        <v>26</v>
      </c>
      <c r="M492" t="s">
        <v>26</v>
      </c>
      <c r="N492" t="s">
        <v>26</v>
      </c>
      <c r="O492" t="s">
        <v>26</v>
      </c>
      <c r="P492" t="s">
        <v>27</v>
      </c>
      <c r="Q492" t="s">
        <v>28</v>
      </c>
      <c r="R492" s="7">
        <v>46119</v>
      </c>
      <c r="S492">
        <v>3.5</v>
      </c>
      <c r="T492">
        <v>1</v>
      </c>
      <c r="U492" t="s">
        <v>29</v>
      </c>
    </row>
    <row r="493" spans="1:21" x14ac:dyDescent="0.3">
      <c r="A493" t="s">
        <v>553</v>
      </c>
      <c r="B493" t="s">
        <v>75</v>
      </c>
      <c r="C493" t="s">
        <v>41</v>
      </c>
      <c r="D493">
        <v>1.8</v>
      </c>
      <c r="E493" t="s">
        <v>33</v>
      </c>
      <c r="F493" t="s">
        <v>25</v>
      </c>
      <c r="G493">
        <v>4500</v>
      </c>
      <c r="H493">
        <v>29</v>
      </c>
      <c r="I493">
        <v>87</v>
      </c>
      <c r="J493">
        <v>78</v>
      </c>
      <c r="K493">
        <v>89.7</v>
      </c>
      <c r="L493" t="s">
        <v>26</v>
      </c>
      <c r="M493" t="s">
        <v>26</v>
      </c>
      <c r="N493" t="s">
        <v>27</v>
      </c>
      <c r="O493" t="s">
        <v>26</v>
      </c>
      <c r="P493" t="s">
        <v>26</v>
      </c>
      <c r="Q493" t="s">
        <v>28</v>
      </c>
      <c r="R493" s="7">
        <v>45830</v>
      </c>
      <c r="S493">
        <v>3.9</v>
      </c>
      <c r="T493">
        <v>9</v>
      </c>
      <c r="U493" t="s">
        <v>29</v>
      </c>
    </row>
    <row r="494" spans="1:21" x14ac:dyDescent="0.3">
      <c r="A494" t="s">
        <v>554</v>
      </c>
      <c r="B494" t="s">
        <v>83</v>
      </c>
      <c r="C494" t="s">
        <v>38</v>
      </c>
      <c r="D494">
        <v>5.5</v>
      </c>
      <c r="E494" t="s">
        <v>33</v>
      </c>
      <c r="F494" t="s">
        <v>25</v>
      </c>
      <c r="G494">
        <v>3500</v>
      </c>
      <c r="H494">
        <v>40</v>
      </c>
      <c r="I494">
        <v>120</v>
      </c>
      <c r="J494">
        <v>87</v>
      </c>
      <c r="K494">
        <v>72.5</v>
      </c>
      <c r="L494" t="s">
        <v>26</v>
      </c>
      <c r="M494" t="s">
        <v>26</v>
      </c>
      <c r="N494" t="s">
        <v>26</v>
      </c>
      <c r="O494" t="s">
        <v>26</v>
      </c>
      <c r="P494" t="s">
        <v>26</v>
      </c>
      <c r="Q494" t="s">
        <v>35</v>
      </c>
      <c r="R494" s="7">
        <v>45793</v>
      </c>
      <c r="S494">
        <v>3.8</v>
      </c>
      <c r="T494">
        <v>14</v>
      </c>
      <c r="U494" t="s">
        <v>29</v>
      </c>
    </row>
    <row r="495" spans="1:21" x14ac:dyDescent="0.3">
      <c r="A495" t="s">
        <v>555</v>
      </c>
      <c r="B495" t="s">
        <v>62</v>
      </c>
      <c r="C495" t="s">
        <v>47</v>
      </c>
      <c r="D495">
        <v>2.8</v>
      </c>
      <c r="E495" t="s">
        <v>33</v>
      </c>
      <c r="F495" t="s">
        <v>49</v>
      </c>
      <c r="G495">
        <v>5000</v>
      </c>
      <c r="H495">
        <v>44</v>
      </c>
      <c r="I495">
        <v>132</v>
      </c>
      <c r="J495">
        <v>132</v>
      </c>
      <c r="K495">
        <v>100</v>
      </c>
      <c r="L495" t="s">
        <v>26</v>
      </c>
      <c r="M495" t="s">
        <v>26</v>
      </c>
      <c r="N495" t="s">
        <v>26</v>
      </c>
      <c r="O495" t="s">
        <v>27</v>
      </c>
      <c r="P495" t="s">
        <v>26</v>
      </c>
      <c r="Q495" t="s">
        <v>28</v>
      </c>
      <c r="R495" s="7">
        <v>45810</v>
      </c>
      <c r="S495">
        <v>4.3</v>
      </c>
      <c r="T495">
        <v>11</v>
      </c>
      <c r="U495" t="s">
        <v>29</v>
      </c>
    </row>
    <row r="496" spans="1:21" x14ac:dyDescent="0.3">
      <c r="A496" t="s">
        <v>556</v>
      </c>
      <c r="B496" t="s">
        <v>22</v>
      </c>
      <c r="C496" t="s">
        <v>44</v>
      </c>
      <c r="D496">
        <v>5.4</v>
      </c>
      <c r="E496" t="s">
        <v>48</v>
      </c>
      <c r="F496" t="s">
        <v>25</v>
      </c>
      <c r="G496">
        <v>2050</v>
      </c>
      <c r="H496">
        <v>13</v>
      </c>
      <c r="I496">
        <v>52</v>
      </c>
      <c r="J496">
        <v>21</v>
      </c>
      <c r="K496">
        <v>40.4</v>
      </c>
      <c r="L496" t="s">
        <v>27</v>
      </c>
      <c r="M496" t="s">
        <v>26</v>
      </c>
      <c r="N496" t="s">
        <v>26</v>
      </c>
      <c r="O496" t="s">
        <v>26</v>
      </c>
      <c r="P496" t="s">
        <v>27</v>
      </c>
      <c r="Q496" t="s">
        <v>28</v>
      </c>
      <c r="R496" s="7">
        <v>46102</v>
      </c>
      <c r="S496">
        <v>3.8</v>
      </c>
      <c r="T496">
        <v>11</v>
      </c>
      <c r="U496" t="s">
        <v>29</v>
      </c>
    </row>
    <row r="497" spans="1:21" x14ac:dyDescent="0.3">
      <c r="A497" t="s">
        <v>557</v>
      </c>
      <c r="B497" t="s">
        <v>53</v>
      </c>
      <c r="C497" t="s">
        <v>32</v>
      </c>
      <c r="D497">
        <v>6.6</v>
      </c>
      <c r="E497" t="s">
        <v>48</v>
      </c>
      <c r="F497" t="s">
        <v>34</v>
      </c>
      <c r="G497">
        <v>4300</v>
      </c>
      <c r="H497">
        <v>35</v>
      </c>
      <c r="I497">
        <v>140</v>
      </c>
      <c r="J497">
        <v>105</v>
      </c>
      <c r="K497">
        <v>75</v>
      </c>
      <c r="L497" t="s">
        <v>26</v>
      </c>
      <c r="M497" t="s">
        <v>27</v>
      </c>
      <c r="N497" t="s">
        <v>26</v>
      </c>
      <c r="O497" t="s">
        <v>27</v>
      </c>
      <c r="P497" t="s">
        <v>26</v>
      </c>
      <c r="Q497" t="s">
        <v>28</v>
      </c>
      <c r="R497" s="7">
        <v>46168</v>
      </c>
      <c r="S497">
        <v>3.5</v>
      </c>
      <c r="T497">
        <v>14</v>
      </c>
      <c r="U497" t="s">
        <v>29</v>
      </c>
    </row>
    <row r="498" spans="1:21" x14ac:dyDescent="0.3">
      <c r="A498" t="s">
        <v>558</v>
      </c>
      <c r="B498" t="s">
        <v>53</v>
      </c>
      <c r="C498" t="s">
        <v>38</v>
      </c>
      <c r="D498">
        <v>5.3</v>
      </c>
      <c r="E498" t="s">
        <v>48</v>
      </c>
      <c r="F498" t="s">
        <v>25</v>
      </c>
      <c r="G498">
        <v>3550</v>
      </c>
      <c r="H498">
        <v>10</v>
      </c>
      <c r="I498">
        <v>40</v>
      </c>
      <c r="J498">
        <v>37</v>
      </c>
      <c r="K498">
        <v>92.5</v>
      </c>
      <c r="L498" t="s">
        <v>27</v>
      </c>
      <c r="M498" t="s">
        <v>26</v>
      </c>
      <c r="N498" t="s">
        <v>27</v>
      </c>
      <c r="O498" t="s">
        <v>26</v>
      </c>
      <c r="P498" t="s">
        <v>26</v>
      </c>
      <c r="Q498" t="s">
        <v>28</v>
      </c>
      <c r="R498" s="7">
        <v>45827</v>
      </c>
      <c r="S498">
        <v>3.7</v>
      </c>
      <c r="T498">
        <v>3</v>
      </c>
      <c r="U498" t="s">
        <v>29</v>
      </c>
    </row>
    <row r="499" spans="1:21" x14ac:dyDescent="0.3">
      <c r="A499" t="s">
        <v>559</v>
      </c>
      <c r="B499" t="s">
        <v>75</v>
      </c>
      <c r="C499" t="s">
        <v>38</v>
      </c>
      <c r="D499">
        <v>2.9</v>
      </c>
      <c r="E499" t="s">
        <v>33</v>
      </c>
      <c r="F499" t="s">
        <v>49</v>
      </c>
      <c r="G499">
        <v>3500</v>
      </c>
      <c r="H499">
        <v>26</v>
      </c>
      <c r="I499">
        <v>78</v>
      </c>
      <c r="J499">
        <v>58</v>
      </c>
      <c r="K499">
        <v>74.400000000000006</v>
      </c>
      <c r="L499" t="s">
        <v>27</v>
      </c>
      <c r="M499" t="s">
        <v>26</v>
      </c>
      <c r="N499" t="s">
        <v>27</v>
      </c>
      <c r="O499" t="s">
        <v>26</v>
      </c>
      <c r="P499" t="s">
        <v>26</v>
      </c>
      <c r="Q499" t="s">
        <v>28</v>
      </c>
      <c r="R499" s="7">
        <v>45695</v>
      </c>
      <c r="S499">
        <v>4.3</v>
      </c>
      <c r="T499">
        <v>9</v>
      </c>
      <c r="U499" t="s">
        <v>29</v>
      </c>
    </row>
    <row r="500" spans="1:21" x14ac:dyDescent="0.3">
      <c r="A500" t="s">
        <v>560</v>
      </c>
      <c r="B500" t="s">
        <v>31</v>
      </c>
      <c r="C500" t="s">
        <v>44</v>
      </c>
      <c r="D500">
        <v>6.2</v>
      </c>
      <c r="E500" t="s">
        <v>48</v>
      </c>
      <c r="F500" t="s">
        <v>49</v>
      </c>
      <c r="G500">
        <v>1800</v>
      </c>
      <c r="H500">
        <v>15</v>
      </c>
      <c r="I500">
        <v>60</v>
      </c>
      <c r="J500">
        <v>56</v>
      </c>
      <c r="K500">
        <v>93.3</v>
      </c>
      <c r="L500" t="s">
        <v>27</v>
      </c>
      <c r="M500" t="s">
        <v>26</v>
      </c>
      <c r="N500" t="s">
        <v>26</v>
      </c>
      <c r="O500" t="s">
        <v>26</v>
      </c>
      <c r="P500" t="s">
        <v>26</v>
      </c>
      <c r="Q500" t="s">
        <v>28</v>
      </c>
      <c r="R500" s="7">
        <v>46024</v>
      </c>
      <c r="S500">
        <v>3.5</v>
      </c>
      <c r="T500">
        <v>18</v>
      </c>
      <c r="U500" t="s">
        <v>29</v>
      </c>
    </row>
    <row r="501" spans="1:21" x14ac:dyDescent="0.3">
      <c r="A501" t="s">
        <v>561</v>
      </c>
      <c r="B501" t="s">
        <v>150</v>
      </c>
      <c r="C501" t="s">
        <v>44</v>
      </c>
      <c r="D501">
        <v>5.8</v>
      </c>
      <c r="E501" t="s">
        <v>48</v>
      </c>
      <c r="F501" t="s">
        <v>25</v>
      </c>
      <c r="G501">
        <v>3550</v>
      </c>
      <c r="H501">
        <v>36</v>
      </c>
      <c r="I501">
        <v>144</v>
      </c>
      <c r="J501">
        <v>69</v>
      </c>
      <c r="K501">
        <v>47.9</v>
      </c>
      <c r="L501" t="s">
        <v>26</v>
      </c>
      <c r="M501" t="s">
        <v>27</v>
      </c>
      <c r="N501" t="s">
        <v>26</v>
      </c>
      <c r="O501" t="s">
        <v>26</v>
      </c>
      <c r="P501" t="s">
        <v>27</v>
      </c>
      <c r="Q501" t="s">
        <v>28</v>
      </c>
      <c r="R501" s="7">
        <v>46000</v>
      </c>
      <c r="S501">
        <v>4.0999999999999996</v>
      </c>
      <c r="T501">
        <v>10</v>
      </c>
      <c r="U501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29" sqref="B29"/>
    </sheetView>
  </sheetViews>
  <sheetFormatPr defaultRowHeight="14.4" x14ac:dyDescent="0.3"/>
  <cols>
    <col min="1" max="1" width="14.44140625" customWidth="1"/>
    <col min="2" max="2" width="14.109375" customWidth="1"/>
  </cols>
  <sheetData>
    <row r="1" spans="1:2" x14ac:dyDescent="0.3">
      <c r="A1" s="1" t="s">
        <v>562</v>
      </c>
      <c r="B1" s="1" t="s">
        <v>563</v>
      </c>
    </row>
    <row r="2" spans="1:2" x14ac:dyDescent="0.3">
      <c r="A2" t="s">
        <v>564</v>
      </c>
      <c r="B2">
        <f>COUNTA(HostelData!A2:A501)</f>
        <v>500</v>
      </c>
    </row>
    <row r="3" spans="1:2" x14ac:dyDescent="0.3">
      <c r="A3" t="s">
        <v>565</v>
      </c>
      <c r="B3" s="3">
        <f>AVERAGE(HostelData!G2:G501)</f>
        <v>5196.5</v>
      </c>
    </row>
    <row r="4" spans="1:2" x14ac:dyDescent="0.3">
      <c r="A4" t="s">
        <v>566</v>
      </c>
      <c r="B4" s="3">
        <f>MIN(HostelData!G2:G501)</f>
        <v>1800</v>
      </c>
    </row>
    <row r="5" spans="1:2" x14ac:dyDescent="0.3">
      <c r="A5" t="s">
        <v>567</v>
      </c>
      <c r="B5" s="3">
        <f>MAX(HostelData!G2:G501)</f>
        <v>12000</v>
      </c>
    </row>
    <row r="6" spans="1:2" x14ac:dyDescent="0.3">
      <c r="A6" t="s">
        <v>568</v>
      </c>
      <c r="B6" s="2">
        <f>AVERAGE(HostelData!S2:S501)</f>
        <v>3.9690000000000016</v>
      </c>
    </row>
    <row r="7" spans="1:2" x14ac:dyDescent="0.3">
      <c r="A7" t="s">
        <v>569</v>
      </c>
      <c r="B7" s="2">
        <f>AVERAGE(HostelData!D2:D501)</f>
        <v>4.0557999999999987</v>
      </c>
    </row>
    <row r="8" spans="1:2" x14ac:dyDescent="0.3">
      <c r="A8" t="s">
        <v>570</v>
      </c>
      <c r="B8">
        <f>SUM(HostelData!I2:I501)</f>
        <v>34822</v>
      </c>
    </row>
    <row r="9" spans="1:2" x14ac:dyDescent="0.3">
      <c r="A9" t="s">
        <v>571</v>
      </c>
      <c r="B9">
        <f>SUM(HostelData!J2:J501)</f>
        <v>23780</v>
      </c>
    </row>
    <row r="10" spans="1:2" x14ac:dyDescent="0.3">
      <c r="A10" t="s">
        <v>572</v>
      </c>
      <c r="B10">
        <f>B8-B9</f>
        <v>11042</v>
      </c>
    </row>
    <row r="11" spans="1:2" x14ac:dyDescent="0.3">
      <c r="A11" t="s">
        <v>573</v>
      </c>
      <c r="B11">
        <f>AVERAGE(HostelData!K2:K501)</f>
        <v>68.374200000000044</v>
      </c>
    </row>
    <row r="12" spans="1:2" x14ac:dyDescent="0.3">
      <c r="A12" t="s">
        <v>574</v>
      </c>
      <c r="B12">
        <f>SUM(HostelData!T2:T501)</f>
        <v>4651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Hostels By Location</vt:lpstr>
      <vt:lpstr>Average Rent By Location</vt:lpstr>
      <vt:lpstr>Verification Analysis</vt:lpstr>
      <vt:lpstr>HostelData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</dc:creator>
  <cp:lastModifiedBy>Elliot Teye</cp:lastModifiedBy>
  <dcterms:created xsi:type="dcterms:W3CDTF">2026-09-17T14:18:22Z</dcterms:created>
  <dcterms:modified xsi:type="dcterms:W3CDTF">2026-09-18T13:07:31Z</dcterms:modified>
</cp:coreProperties>
</file>